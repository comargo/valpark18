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s\Валентиновка\valpark18.doc\"/>
    </mc:Choice>
  </mc:AlternateContent>
  <bookViews>
    <workbookView xWindow="0" yWindow="0" windowWidth="20490" windowHeight="7620"/>
  </bookViews>
  <sheets>
    <sheet name="Лист1" sheetId="1" r:id="rId1"/>
    <sheet name="Лист2" sheetId="6" r:id="rId2"/>
    <sheet name="наличие голоса" sheetId="5" r:id="rId3"/>
    <sheet name="за" sheetId="2" r:id="rId4"/>
    <sheet name="против" sheetId="3" r:id="rId5"/>
    <sheet name="воздержался" sheetId="4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3" l="1"/>
  <c r="C1" i="3"/>
  <c r="D1" i="3"/>
  <c r="E1" i="3"/>
  <c r="F1" i="3"/>
  <c r="G1" i="3"/>
  <c r="J1" i="3"/>
  <c r="K1" i="3"/>
  <c r="B2" i="3"/>
  <c r="C2" i="3"/>
  <c r="D2" i="3"/>
  <c r="E2" i="3"/>
  <c r="F2" i="3"/>
  <c r="G2" i="3"/>
  <c r="J2" i="3"/>
  <c r="K2" i="3"/>
  <c r="B3" i="3"/>
  <c r="C3" i="3"/>
  <c r="D3" i="3"/>
  <c r="E3" i="3"/>
  <c r="F3" i="3"/>
  <c r="G3" i="3"/>
  <c r="K3" i="3"/>
  <c r="L3" i="3"/>
  <c r="B4" i="3"/>
  <c r="C4" i="3"/>
  <c r="D4" i="3"/>
  <c r="E4" i="3"/>
  <c r="F4" i="3"/>
  <c r="G4" i="3"/>
  <c r="J4" i="3"/>
  <c r="K4" i="3"/>
  <c r="L4" i="3"/>
  <c r="B5" i="3"/>
  <c r="C5" i="3"/>
  <c r="D5" i="3"/>
  <c r="E5" i="3"/>
  <c r="F5" i="3"/>
  <c r="G5" i="3"/>
  <c r="I5" i="3"/>
  <c r="J5" i="3"/>
  <c r="K5" i="3"/>
  <c r="L5" i="3"/>
  <c r="B6" i="3"/>
  <c r="C6" i="3"/>
  <c r="D6" i="3"/>
  <c r="E6" i="3"/>
  <c r="F6" i="3"/>
  <c r="G6" i="3"/>
  <c r="I6" i="3"/>
  <c r="J6" i="3"/>
  <c r="K6" i="3"/>
  <c r="L6" i="3"/>
  <c r="B7" i="3"/>
  <c r="C7" i="3"/>
  <c r="D7" i="3"/>
  <c r="E7" i="3"/>
  <c r="F7" i="3"/>
  <c r="G7" i="3"/>
  <c r="H7" i="3"/>
  <c r="I7" i="3"/>
  <c r="J7" i="3"/>
  <c r="K7" i="3"/>
  <c r="L7" i="3"/>
  <c r="B8" i="3"/>
  <c r="C8" i="3"/>
  <c r="D8" i="3"/>
  <c r="E8" i="3"/>
  <c r="F8" i="3"/>
  <c r="G8" i="3"/>
  <c r="K8" i="3"/>
  <c r="L8" i="3"/>
  <c r="B9" i="3"/>
  <c r="C9" i="3"/>
  <c r="D9" i="3"/>
  <c r="E9" i="3"/>
  <c r="F9" i="3"/>
  <c r="G9" i="3"/>
  <c r="K9" i="3"/>
  <c r="L9" i="3"/>
  <c r="B10" i="3"/>
  <c r="C10" i="3"/>
  <c r="D10" i="3"/>
  <c r="E10" i="3"/>
  <c r="F10" i="3"/>
  <c r="G10" i="3"/>
  <c r="K10" i="3"/>
  <c r="L10" i="3"/>
  <c r="B11" i="3"/>
  <c r="C11" i="3"/>
  <c r="D11" i="3"/>
  <c r="E11" i="3"/>
  <c r="F11" i="3"/>
  <c r="G11" i="3"/>
  <c r="K11" i="3"/>
  <c r="L11" i="3"/>
  <c r="B12" i="3"/>
  <c r="C12" i="3"/>
  <c r="D12" i="3"/>
  <c r="E12" i="3"/>
  <c r="F12" i="3"/>
  <c r="G12" i="3"/>
  <c r="H12" i="3"/>
  <c r="I12" i="3"/>
  <c r="J12" i="3"/>
  <c r="K12" i="3"/>
  <c r="L12" i="3"/>
  <c r="B13" i="3"/>
  <c r="D13" i="3"/>
  <c r="G13" i="3"/>
  <c r="K13" i="3"/>
  <c r="B14" i="3"/>
  <c r="C14" i="3"/>
  <c r="D14" i="3"/>
  <c r="E14" i="3"/>
  <c r="F14" i="3"/>
  <c r="G14" i="3"/>
  <c r="H14" i="3"/>
  <c r="I14" i="3"/>
  <c r="J14" i="3"/>
  <c r="K14" i="3"/>
  <c r="L14" i="3"/>
  <c r="B15" i="3"/>
  <c r="C15" i="3"/>
  <c r="D15" i="3"/>
  <c r="E15" i="3"/>
  <c r="F15" i="3"/>
  <c r="G15" i="3"/>
  <c r="H15" i="3"/>
  <c r="I15" i="3"/>
  <c r="J15" i="3"/>
  <c r="K15" i="3"/>
  <c r="L15" i="3"/>
  <c r="B16" i="3"/>
  <c r="C16" i="3"/>
  <c r="D16" i="3"/>
  <c r="G16" i="3"/>
  <c r="J16" i="3"/>
  <c r="K16" i="3"/>
  <c r="L16" i="3"/>
  <c r="B17" i="3"/>
  <c r="C17" i="3"/>
  <c r="D17" i="3"/>
  <c r="G17" i="3"/>
  <c r="J17" i="3"/>
  <c r="K17" i="3"/>
  <c r="L17" i="3"/>
  <c r="B18" i="3"/>
  <c r="C18" i="3"/>
  <c r="D18" i="3"/>
  <c r="G18" i="3"/>
  <c r="J18" i="3"/>
  <c r="K18" i="3"/>
  <c r="L18" i="3"/>
  <c r="B19" i="3"/>
  <c r="C19" i="3"/>
  <c r="D19" i="3"/>
  <c r="G19" i="3"/>
  <c r="J19" i="3"/>
  <c r="K19" i="3"/>
  <c r="L19" i="3"/>
  <c r="B20" i="3"/>
  <c r="C20" i="3"/>
  <c r="D20" i="3"/>
  <c r="G20" i="3"/>
  <c r="J20" i="3"/>
  <c r="K20" i="3"/>
  <c r="L20" i="3"/>
  <c r="B21" i="3"/>
  <c r="C21" i="3"/>
  <c r="D21" i="3"/>
  <c r="E21" i="3"/>
  <c r="F21" i="3"/>
  <c r="G21" i="3"/>
  <c r="H21" i="3"/>
  <c r="I21" i="3"/>
  <c r="J21" i="3"/>
  <c r="K21" i="3"/>
  <c r="L21" i="3"/>
  <c r="B22" i="3"/>
  <c r="C22" i="3"/>
  <c r="D22" i="3"/>
  <c r="E22" i="3"/>
  <c r="F22" i="3"/>
  <c r="G22" i="3"/>
  <c r="H22" i="3"/>
  <c r="I22" i="3"/>
  <c r="J22" i="3"/>
  <c r="K22" i="3"/>
  <c r="L22" i="3"/>
  <c r="B23" i="3"/>
  <c r="C23" i="3"/>
  <c r="D23" i="3"/>
  <c r="E23" i="3"/>
  <c r="F23" i="3"/>
  <c r="G23" i="3"/>
  <c r="H23" i="3"/>
  <c r="I23" i="3"/>
  <c r="J23" i="3"/>
  <c r="K23" i="3"/>
  <c r="L23" i="3"/>
  <c r="B24" i="3"/>
  <c r="C24" i="3"/>
  <c r="D24" i="3"/>
  <c r="E24" i="3"/>
  <c r="F24" i="3"/>
  <c r="G24" i="3"/>
  <c r="H24" i="3"/>
  <c r="I24" i="3"/>
  <c r="J24" i="3"/>
  <c r="K24" i="3"/>
  <c r="L24" i="3"/>
  <c r="B25" i="3"/>
  <c r="C25" i="3"/>
  <c r="D25" i="3"/>
  <c r="E25" i="3"/>
  <c r="F25" i="3"/>
  <c r="G25" i="3"/>
  <c r="H25" i="3"/>
  <c r="I25" i="3"/>
  <c r="J25" i="3"/>
  <c r="K25" i="3"/>
  <c r="L25" i="3"/>
  <c r="B26" i="3"/>
  <c r="C26" i="3"/>
  <c r="D26" i="3"/>
  <c r="E26" i="3"/>
  <c r="F26" i="3"/>
  <c r="G26" i="3"/>
  <c r="H26" i="3"/>
  <c r="I26" i="3"/>
  <c r="J26" i="3"/>
  <c r="K26" i="3"/>
  <c r="L26" i="3"/>
  <c r="B27" i="3"/>
  <c r="C27" i="3"/>
  <c r="D27" i="3"/>
  <c r="E27" i="3"/>
  <c r="F27" i="3"/>
  <c r="G27" i="3"/>
  <c r="K27" i="3"/>
  <c r="L27" i="3"/>
  <c r="B28" i="3"/>
  <c r="C28" i="3"/>
  <c r="D28" i="3"/>
  <c r="E28" i="3"/>
  <c r="F28" i="3"/>
  <c r="G28" i="3"/>
  <c r="H28" i="3"/>
  <c r="I28" i="3"/>
  <c r="J28" i="3"/>
  <c r="K28" i="3"/>
  <c r="L28" i="3"/>
  <c r="B29" i="3"/>
  <c r="C29" i="3"/>
  <c r="D29" i="3"/>
  <c r="E29" i="3"/>
  <c r="F29" i="3"/>
  <c r="G29" i="3"/>
  <c r="H29" i="3"/>
  <c r="I29" i="3"/>
  <c r="J29" i="3"/>
  <c r="K29" i="3"/>
  <c r="L29" i="3"/>
  <c r="B30" i="3"/>
  <c r="C30" i="3"/>
  <c r="D30" i="3"/>
  <c r="E30" i="3"/>
  <c r="F30" i="3"/>
  <c r="G30" i="3"/>
  <c r="H30" i="3"/>
  <c r="I30" i="3"/>
  <c r="J30" i="3"/>
  <c r="K30" i="3"/>
  <c r="L30" i="3"/>
  <c r="B31" i="3"/>
  <c r="C31" i="3"/>
  <c r="D31" i="3"/>
  <c r="E31" i="3"/>
  <c r="F31" i="3"/>
  <c r="G31" i="3"/>
  <c r="H31" i="3"/>
  <c r="I31" i="3"/>
  <c r="J31" i="3"/>
  <c r="K31" i="3"/>
  <c r="L31" i="3"/>
  <c r="B32" i="3"/>
  <c r="C32" i="3"/>
  <c r="D32" i="3"/>
  <c r="E32" i="3"/>
  <c r="F32" i="3"/>
  <c r="G32" i="3"/>
  <c r="H32" i="3"/>
  <c r="I32" i="3"/>
  <c r="J32" i="3"/>
  <c r="K32" i="3"/>
  <c r="L32" i="3"/>
  <c r="B33" i="3"/>
  <c r="C33" i="3"/>
  <c r="D33" i="3"/>
  <c r="E33" i="3"/>
  <c r="F33" i="3"/>
  <c r="G33" i="3"/>
  <c r="H33" i="3"/>
  <c r="I33" i="3"/>
  <c r="J33" i="3"/>
  <c r="K33" i="3"/>
  <c r="L33" i="3"/>
  <c r="B34" i="3"/>
  <c r="C34" i="3"/>
  <c r="D34" i="3"/>
  <c r="E34" i="3"/>
  <c r="F34" i="3"/>
  <c r="G34" i="3"/>
  <c r="H34" i="3"/>
  <c r="I34" i="3"/>
  <c r="J34" i="3"/>
  <c r="K34" i="3"/>
  <c r="L34" i="3"/>
  <c r="B35" i="3"/>
  <c r="C35" i="3"/>
  <c r="D35" i="3"/>
  <c r="E35" i="3"/>
  <c r="F35" i="3"/>
  <c r="G35" i="3"/>
  <c r="H35" i="3"/>
  <c r="I35" i="3"/>
  <c r="J35" i="3"/>
  <c r="K35" i="3"/>
  <c r="L35" i="3"/>
  <c r="B36" i="3"/>
  <c r="C36" i="3"/>
  <c r="D36" i="3"/>
  <c r="E36" i="3"/>
  <c r="F36" i="3"/>
  <c r="G36" i="3"/>
  <c r="H36" i="3"/>
  <c r="I36" i="3"/>
  <c r="J36" i="3"/>
  <c r="K36" i="3"/>
  <c r="L36" i="3"/>
  <c r="B37" i="3"/>
  <c r="C37" i="3"/>
  <c r="D37" i="3"/>
  <c r="E37" i="3"/>
  <c r="F37" i="3"/>
  <c r="G37" i="3"/>
  <c r="H37" i="3"/>
  <c r="I37" i="3"/>
  <c r="J37" i="3"/>
  <c r="K37" i="3"/>
  <c r="L37" i="3"/>
  <c r="B38" i="3"/>
  <c r="C38" i="3"/>
  <c r="D38" i="3"/>
  <c r="E38" i="3"/>
  <c r="F38" i="3"/>
  <c r="G38" i="3"/>
  <c r="H38" i="3"/>
  <c r="I38" i="3"/>
  <c r="J38" i="3"/>
  <c r="K38" i="3"/>
  <c r="L38" i="3"/>
  <c r="B39" i="3"/>
  <c r="C39" i="3"/>
  <c r="D39" i="3"/>
  <c r="E39" i="3"/>
  <c r="F39" i="3"/>
  <c r="G39" i="3"/>
  <c r="H39" i="3"/>
  <c r="I39" i="3"/>
  <c r="J39" i="3"/>
  <c r="K39" i="3"/>
  <c r="L39" i="3"/>
  <c r="B40" i="3"/>
  <c r="C40" i="3"/>
  <c r="D40" i="3"/>
  <c r="E40" i="3"/>
  <c r="F40" i="3"/>
  <c r="G40" i="3"/>
  <c r="H40" i="3"/>
  <c r="I40" i="3"/>
  <c r="J40" i="3"/>
  <c r="K40" i="3"/>
  <c r="L40" i="3"/>
  <c r="B41" i="3"/>
  <c r="C41" i="3"/>
  <c r="D41" i="3"/>
  <c r="E41" i="3"/>
  <c r="F41" i="3"/>
  <c r="G41" i="3"/>
  <c r="H41" i="3"/>
  <c r="I41" i="3"/>
  <c r="J41" i="3"/>
  <c r="K41" i="3"/>
  <c r="L41" i="3"/>
  <c r="B42" i="3"/>
  <c r="C42" i="3"/>
  <c r="D42" i="3"/>
  <c r="E42" i="3"/>
  <c r="F42" i="3"/>
  <c r="G42" i="3"/>
  <c r="H42" i="3"/>
  <c r="I42" i="3"/>
  <c r="J42" i="3"/>
  <c r="K42" i="3"/>
  <c r="L42" i="3"/>
  <c r="B43" i="3"/>
  <c r="C43" i="3"/>
  <c r="D43" i="3"/>
  <c r="E43" i="3"/>
  <c r="F43" i="3"/>
  <c r="G43" i="3"/>
  <c r="H43" i="3"/>
  <c r="I43" i="3"/>
  <c r="J43" i="3"/>
  <c r="K43" i="3"/>
  <c r="L43" i="3"/>
  <c r="B44" i="3"/>
  <c r="C44" i="3"/>
  <c r="D44" i="3"/>
  <c r="E44" i="3"/>
  <c r="F44" i="3"/>
  <c r="G44" i="3"/>
  <c r="H44" i="3"/>
  <c r="I44" i="3"/>
  <c r="J44" i="3"/>
  <c r="K44" i="3"/>
  <c r="L44" i="3"/>
  <c r="B45" i="3"/>
  <c r="C45" i="3"/>
  <c r="D45" i="3"/>
  <c r="E45" i="3"/>
  <c r="F45" i="3"/>
  <c r="G45" i="3"/>
  <c r="H45" i="3"/>
  <c r="I45" i="3"/>
  <c r="J45" i="3"/>
  <c r="K45" i="3"/>
  <c r="L45" i="3"/>
  <c r="B46" i="3"/>
  <c r="C46" i="3"/>
  <c r="D46" i="3"/>
  <c r="E46" i="3"/>
  <c r="F46" i="3"/>
  <c r="G46" i="3"/>
  <c r="K46" i="3"/>
  <c r="L46" i="3"/>
  <c r="B47" i="3"/>
  <c r="C47" i="3"/>
  <c r="D47" i="3"/>
  <c r="E47" i="3"/>
  <c r="F47" i="3"/>
  <c r="G47" i="3"/>
  <c r="H47" i="3"/>
  <c r="I47" i="3"/>
  <c r="J47" i="3"/>
  <c r="K47" i="3"/>
  <c r="L47" i="3"/>
  <c r="B48" i="3"/>
  <c r="C48" i="3"/>
  <c r="D48" i="3"/>
  <c r="E48" i="3"/>
  <c r="F48" i="3"/>
  <c r="G48" i="3"/>
  <c r="H48" i="3"/>
  <c r="I48" i="3"/>
  <c r="J48" i="3"/>
  <c r="K48" i="3"/>
  <c r="L48" i="3"/>
  <c r="B49" i="3"/>
  <c r="C49" i="3"/>
  <c r="D49" i="3"/>
  <c r="E49" i="3"/>
  <c r="F49" i="3"/>
  <c r="G49" i="3"/>
  <c r="H49" i="3"/>
  <c r="I49" i="3"/>
  <c r="J49" i="3"/>
  <c r="K49" i="3"/>
  <c r="L49" i="3"/>
  <c r="B50" i="3"/>
  <c r="C50" i="3"/>
  <c r="D50" i="3"/>
  <c r="E50" i="3"/>
  <c r="F50" i="3"/>
  <c r="G50" i="3"/>
  <c r="H50" i="3"/>
  <c r="I50" i="3"/>
  <c r="J50" i="3"/>
  <c r="K50" i="3"/>
  <c r="L50" i="3"/>
  <c r="B51" i="3"/>
  <c r="C51" i="3"/>
  <c r="D51" i="3"/>
  <c r="E51" i="3"/>
  <c r="F51" i="3"/>
  <c r="G51" i="3"/>
  <c r="K51" i="3"/>
  <c r="L51" i="3"/>
  <c r="B52" i="3"/>
  <c r="C52" i="3"/>
  <c r="D52" i="3"/>
  <c r="E52" i="3"/>
  <c r="F52" i="3"/>
  <c r="G52" i="3"/>
  <c r="K52" i="3"/>
  <c r="L52" i="3"/>
  <c r="B53" i="3"/>
  <c r="C53" i="3"/>
  <c r="D53" i="3"/>
  <c r="E53" i="3"/>
  <c r="F53" i="3"/>
  <c r="G53" i="3"/>
  <c r="H53" i="3"/>
  <c r="I53" i="3"/>
  <c r="J53" i="3"/>
  <c r="K53" i="3"/>
  <c r="L53" i="3"/>
  <c r="B54" i="3"/>
  <c r="C54" i="3"/>
  <c r="D54" i="3"/>
  <c r="E54" i="3"/>
  <c r="F54" i="3"/>
  <c r="G54" i="3"/>
  <c r="H54" i="3"/>
  <c r="I54" i="3"/>
  <c r="J54" i="3"/>
  <c r="K54" i="3"/>
  <c r="L54" i="3"/>
  <c r="B55" i="3"/>
  <c r="C55" i="3"/>
  <c r="D55" i="3"/>
  <c r="E55" i="3"/>
  <c r="F55" i="3"/>
  <c r="G55" i="3"/>
  <c r="J55" i="3"/>
  <c r="K55" i="3"/>
  <c r="L55" i="3"/>
  <c r="B56" i="3"/>
  <c r="C56" i="3"/>
  <c r="D56" i="3"/>
  <c r="E56" i="3"/>
  <c r="F56" i="3"/>
  <c r="G56" i="3"/>
  <c r="H56" i="3"/>
  <c r="I56" i="3"/>
  <c r="J56" i="3"/>
  <c r="K56" i="3"/>
  <c r="L56" i="3"/>
  <c r="B57" i="3"/>
  <c r="C57" i="3"/>
  <c r="D57" i="3"/>
  <c r="E57" i="3"/>
  <c r="F57" i="3"/>
  <c r="G57" i="3"/>
  <c r="H57" i="3"/>
  <c r="I57" i="3"/>
  <c r="J57" i="3"/>
  <c r="K57" i="3"/>
  <c r="L57" i="3"/>
  <c r="A2" i="3"/>
  <c r="A3" i="3"/>
  <c r="A4" i="3"/>
  <c r="A5" i="3"/>
  <c r="A6" i="3"/>
  <c r="A7" i="3"/>
  <c r="A8" i="3"/>
  <c r="A9" i="3"/>
  <c r="A10" i="3"/>
  <c r="A11" i="3"/>
  <c r="A12" i="3"/>
  <c r="A14" i="3"/>
  <c r="A15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1" i="3"/>
  <c r="L1" i="2"/>
  <c r="L2" i="2"/>
  <c r="L12" i="2"/>
  <c r="L13" i="2"/>
  <c r="L16" i="2"/>
  <c r="L17" i="2"/>
  <c r="L18" i="2"/>
  <c r="L19" i="2"/>
  <c r="L20" i="2"/>
  <c r="L21" i="2"/>
  <c r="L22" i="2"/>
  <c r="L24" i="2"/>
  <c r="L25" i="2"/>
  <c r="L26" i="2"/>
  <c r="L30" i="2"/>
  <c r="L31" i="2"/>
  <c r="L32" i="2"/>
  <c r="L33" i="2"/>
  <c r="L34" i="2"/>
  <c r="L35" i="2"/>
  <c r="L36" i="2"/>
  <c r="L39" i="2"/>
  <c r="L40" i="2"/>
  <c r="L41" i="2"/>
  <c r="L47" i="2"/>
  <c r="L50" i="2"/>
  <c r="L51" i="2"/>
  <c r="L52" i="2"/>
  <c r="L53" i="2"/>
  <c r="L54" i="2"/>
  <c r="L55" i="2"/>
  <c r="L56" i="2"/>
  <c r="E2" i="2"/>
  <c r="H2" i="2"/>
  <c r="I2" i="2"/>
  <c r="J2" i="2"/>
  <c r="H3" i="2"/>
  <c r="I3" i="2"/>
  <c r="J3" i="2"/>
  <c r="A4" i="2"/>
  <c r="H4" i="2"/>
  <c r="I4" i="2"/>
  <c r="J4" i="2"/>
  <c r="C5" i="2"/>
  <c r="D5" i="2"/>
  <c r="E5" i="2"/>
  <c r="F5" i="2"/>
  <c r="H5" i="2"/>
  <c r="I5" i="2"/>
  <c r="J5" i="2"/>
  <c r="C6" i="2"/>
  <c r="D6" i="2"/>
  <c r="E6" i="2"/>
  <c r="F6" i="2"/>
  <c r="H6" i="2"/>
  <c r="I6" i="2"/>
  <c r="J6" i="2"/>
  <c r="G7" i="2"/>
  <c r="H7" i="2"/>
  <c r="I7" i="2"/>
  <c r="H8" i="2"/>
  <c r="I8" i="2"/>
  <c r="J8" i="2"/>
  <c r="H9" i="2"/>
  <c r="I9" i="2"/>
  <c r="J9" i="2"/>
  <c r="B10" i="2"/>
  <c r="H10" i="2"/>
  <c r="I10" i="2"/>
  <c r="J10" i="2"/>
  <c r="B11" i="2"/>
  <c r="H11" i="2"/>
  <c r="I11" i="2"/>
  <c r="J11" i="2"/>
  <c r="A12" i="2"/>
  <c r="B12" i="2"/>
  <c r="C12" i="2"/>
  <c r="D12" i="2"/>
  <c r="E12" i="2"/>
  <c r="F12" i="2"/>
  <c r="G12" i="2"/>
  <c r="H12" i="2"/>
  <c r="I12" i="2"/>
  <c r="J12" i="2"/>
  <c r="K12" i="2"/>
  <c r="A13" i="2"/>
  <c r="C13" i="2"/>
  <c r="E13" i="2"/>
  <c r="F13" i="2"/>
  <c r="H13" i="2"/>
  <c r="I13" i="2"/>
  <c r="J13" i="2"/>
  <c r="A16" i="2"/>
  <c r="B16" i="2"/>
  <c r="C16" i="2"/>
  <c r="D16" i="2"/>
  <c r="E16" i="2"/>
  <c r="F16" i="2"/>
  <c r="H16" i="2"/>
  <c r="I16" i="2"/>
  <c r="J16" i="2"/>
  <c r="A17" i="2"/>
  <c r="B17" i="2"/>
  <c r="C17" i="2"/>
  <c r="D17" i="2"/>
  <c r="E17" i="2"/>
  <c r="F17" i="2"/>
  <c r="H17" i="2"/>
  <c r="I17" i="2"/>
  <c r="J17" i="2"/>
  <c r="A18" i="2"/>
  <c r="B18" i="2"/>
  <c r="C18" i="2"/>
  <c r="D18" i="2"/>
  <c r="E18" i="2"/>
  <c r="F18" i="2"/>
  <c r="H18" i="2"/>
  <c r="I18" i="2"/>
  <c r="J18" i="2"/>
  <c r="A19" i="2"/>
  <c r="B19" i="2"/>
  <c r="C19" i="2"/>
  <c r="D19" i="2"/>
  <c r="E19" i="2"/>
  <c r="F19" i="2"/>
  <c r="H19" i="2"/>
  <c r="I19" i="2"/>
  <c r="J19" i="2"/>
  <c r="A20" i="2"/>
  <c r="B20" i="2"/>
  <c r="C20" i="2"/>
  <c r="D20" i="2"/>
  <c r="E20" i="2"/>
  <c r="F20" i="2"/>
  <c r="H20" i="2"/>
  <c r="I20" i="2"/>
  <c r="J20" i="2"/>
  <c r="A21" i="2"/>
  <c r="B21" i="2"/>
  <c r="C21" i="2"/>
  <c r="D21" i="2"/>
  <c r="E21" i="2"/>
  <c r="F21" i="2"/>
  <c r="G21" i="2"/>
  <c r="H21" i="2"/>
  <c r="I21" i="2"/>
  <c r="J21" i="2"/>
  <c r="K21" i="2"/>
  <c r="A22" i="2"/>
  <c r="B22" i="2"/>
  <c r="C22" i="2"/>
  <c r="D22" i="2"/>
  <c r="E22" i="2"/>
  <c r="F22" i="2"/>
  <c r="G22" i="2"/>
  <c r="H22" i="2"/>
  <c r="I22" i="2"/>
  <c r="J22" i="2"/>
  <c r="K22" i="2"/>
  <c r="A24" i="2"/>
  <c r="B24" i="2"/>
  <c r="C24" i="2"/>
  <c r="D24" i="2"/>
  <c r="E24" i="2"/>
  <c r="F24" i="2"/>
  <c r="G24" i="2"/>
  <c r="H24" i="2"/>
  <c r="I24" i="2"/>
  <c r="J24" i="2"/>
  <c r="K24" i="2"/>
  <c r="A25" i="2"/>
  <c r="B25" i="2"/>
  <c r="C25" i="2"/>
  <c r="D25" i="2"/>
  <c r="E25" i="2"/>
  <c r="F25" i="2"/>
  <c r="G25" i="2"/>
  <c r="H25" i="2"/>
  <c r="I25" i="2"/>
  <c r="J25" i="2"/>
  <c r="K25" i="2"/>
  <c r="A26" i="2"/>
  <c r="B26" i="2"/>
  <c r="C26" i="2"/>
  <c r="D26" i="2"/>
  <c r="E26" i="2"/>
  <c r="F26" i="2"/>
  <c r="G26" i="2"/>
  <c r="H26" i="2"/>
  <c r="I26" i="2"/>
  <c r="J26" i="2"/>
  <c r="K26" i="2"/>
  <c r="H27" i="2"/>
  <c r="I27" i="2"/>
  <c r="J27" i="2"/>
  <c r="A30" i="2"/>
  <c r="B30" i="2"/>
  <c r="C30" i="2"/>
  <c r="D30" i="2"/>
  <c r="E30" i="2"/>
  <c r="F30" i="2"/>
  <c r="G30" i="2"/>
  <c r="H30" i="2"/>
  <c r="I30" i="2"/>
  <c r="J30" i="2"/>
  <c r="K30" i="2"/>
  <c r="A31" i="2"/>
  <c r="B31" i="2"/>
  <c r="C31" i="2"/>
  <c r="D31" i="2"/>
  <c r="E31" i="2"/>
  <c r="F31" i="2"/>
  <c r="G31" i="2"/>
  <c r="H31" i="2"/>
  <c r="I31" i="2"/>
  <c r="J31" i="2"/>
  <c r="K31" i="2"/>
  <c r="A32" i="2"/>
  <c r="B32" i="2"/>
  <c r="C32" i="2"/>
  <c r="D32" i="2"/>
  <c r="E32" i="2"/>
  <c r="F32" i="2"/>
  <c r="G32" i="2"/>
  <c r="H32" i="2"/>
  <c r="I32" i="2"/>
  <c r="J32" i="2"/>
  <c r="K32" i="2"/>
  <c r="A33" i="2"/>
  <c r="B33" i="2"/>
  <c r="C33" i="2"/>
  <c r="D33" i="2"/>
  <c r="E33" i="2"/>
  <c r="F33" i="2"/>
  <c r="G33" i="2"/>
  <c r="H33" i="2"/>
  <c r="I33" i="2"/>
  <c r="J33" i="2"/>
  <c r="K33" i="2"/>
  <c r="A34" i="2"/>
  <c r="B34" i="2"/>
  <c r="C34" i="2"/>
  <c r="D34" i="2"/>
  <c r="E34" i="2"/>
  <c r="F34" i="2"/>
  <c r="G34" i="2"/>
  <c r="H34" i="2"/>
  <c r="I34" i="2"/>
  <c r="J34" i="2"/>
  <c r="K34" i="2"/>
  <c r="A35" i="2"/>
  <c r="B35" i="2"/>
  <c r="C35" i="2"/>
  <c r="D35" i="2"/>
  <c r="E35" i="2"/>
  <c r="F35" i="2"/>
  <c r="G35" i="2"/>
  <c r="H35" i="2"/>
  <c r="I35" i="2"/>
  <c r="J35" i="2"/>
  <c r="K35" i="2"/>
  <c r="A36" i="2"/>
  <c r="B36" i="2"/>
  <c r="C36" i="2"/>
  <c r="D36" i="2"/>
  <c r="E36" i="2"/>
  <c r="F36" i="2"/>
  <c r="G36" i="2"/>
  <c r="H36" i="2"/>
  <c r="I36" i="2"/>
  <c r="J36" i="2"/>
  <c r="K36" i="2"/>
  <c r="A39" i="2"/>
  <c r="B39" i="2"/>
  <c r="C39" i="2"/>
  <c r="D39" i="2"/>
  <c r="E39" i="2"/>
  <c r="F39" i="2"/>
  <c r="G39" i="2"/>
  <c r="H39" i="2"/>
  <c r="I39" i="2"/>
  <c r="J39" i="2"/>
  <c r="K39" i="2"/>
  <c r="A40" i="2"/>
  <c r="B40" i="2"/>
  <c r="C40" i="2"/>
  <c r="D40" i="2"/>
  <c r="E40" i="2"/>
  <c r="F40" i="2"/>
  <c r="G40" i="2"/>
  <c r="H40" i="2"/>
  <c r="I40" i="2"/>
  <c r="J40" i="2"/>
  <c r="K40" i="2"/>
  <c r="A41" i="2"/>
  <c r="B41" i="2"/>
  <c r="C41" i="2"/>
  <c r="D41" i="2"/>
  <c r="E41" i="2"/>
  <c r="F41" i="2"/>
  <c r="G41" i="2"/>
  <c r="H41" i="2"/>
  <c r="I41" i="2"/>
  <c r="J41" i="2"/>
  <c r="K41" i="2"/>
  <c r="E46" i="2"/>
  <c r="H46" i="2"/>
  <c r="I46" i="2"/>
  <c r="J46" i="2"/>
  <c r="A47" i="2"/>
  <c r="B47" i="2"/>
  <c r="C47" i="2"/>
  <c r="D47" i="2"/>
  <c r="E47" i="2"/>
  <c r="F47" i="2"/>
  <c r="G47" i="2"/>
  <c r="H47" i="2"/>
  <c r="I47" i="2"/>
  <c r="J47" i="2"/>
  <c r="K47" i="2"/>
  <c r="A50" i="2"/>
  <c r="B50" i="2"/>
  <c r="C50" i="2"/>
  <c r="D50" i="2"/>
  <c r="E50" i="2"/>
  <c r="F50" i="2"/>
  <c r="G50" i="2"/>
  <c r="H50" i="2"/>
  <c r="I50" i="2"/>
  <c r="J50" i="2"/>
  <c r="K50" i="2"/>
  <c r="H51" i="2"/>
  <c r="I51" i="2"/>
  <c r="J51" i="2"/>
  <c r="H52" i="2"/>
  <c r="I52" i="2"/>
  <c r="J52" i="2"/>
  <c r="A53" i="2"/>
  <c r="B53" i="2"/>
  <c r="C53" i="2"/>
  <c r="D53" i="2"/>
  <c r="E53" i="2"/>
  <c r="F53" i="2"/>
  <c r="G53" i="2"/>
  <c r="H53" i="2"/>
  <c r="I53" i="2"/>
  <c r="J53" i="2"/>
  <c r="K53" i="2"/>
  <c r="A54" i="2"/>
  <c r="B54" i="2"/>
  <c r="C54" i="2"/>
  <c r="D54" i="2"/>
  <c r="E54" i="2"/>
  <c r="F54" i="2"/>
  <c r="G54" i="2"/>
  <c r="H54" i="2"/>
  <c r="I54" i="2"/>
  <c r="J54" i="2"/>
  <c r="K54" i="2"/>
  <c r="H55" i="2"/>
  <c r="I55" i="2"/>
  <c r="J55" i="2"/>
  <c r="A56" i="2"/>
  <c r="B56" i="2"/>
  <c r="C56" i="2"/>
  <c r="D56" i="2"/>
  <c r="E56" i="2"/>
  <c r="F56" i="2"/>
  <c r="G56" i="2"/>
  <c r="H56" i="2"/>
  <c r="I56" i="2"/>
  <c r="J56" i="2"/>
  <c r="K56" i="2"/>
  <c r="E1" i="2"/>
  <c r="H1" i="2"/>
  <c r="I1" i="2"/>
  <c r="J1" i="2"/>
  <c r="G7" i="5"/>
  <c r="L11" i="5"/>
  <c r="B12" i="5"/>
  <c r="C12" i="5"/>
  <c r="D12" i="5"/>
  <c r="E12" i="5"/>
  <c r="F12" i="5"/>
  <c r="G12" i="5"/>
  <c r="H12" i="5"/>
  <c r="I12" i="5"/>
  <c r="J12" i="5"/>
  <c r="K12" i="5"/>
  <c r="L12" i="5"/>
  <c r="B21" i="5"/>
  <c r="C21" i="5"/>
  <c r="D21" i="5"/>
  <c r="E21" i="5"/>
  <c r="F21" i="5"/>
  <c r="G21" i="5"/>
  <c r="H21" i="5"/>
  <c r="I21" i="5"/>
  <c r="J21" i="5"/>
  <c r="K21" i="5"/>
  <c r="L21" i="5"/>
  <c r="B22" i="5"/>
  <c r="C22" i="5"/>
  <c r="D22" i="5"/>
  <c r="E22" i="5"/>
  <c r="F22" i="5"/>
  <c r="G22" i="5"/>
  <c r="H22" i="5"/>
  <c r="I22" i="5"/>
  <c r="J22" i="5"/>
  <c r="K22" i="5"/>
  <c r="L22" i="5"/>
  <c r="G23" i="5"/>
  <c r="B24" i="5"/>
  <c r="C24" i="5"/>
  <c r="D24" i="5"/>
  <c r="E24" i="5"/>
  <c r="F24" i="5"/>
  <c r="G24" i="5"/>
  <c r="H24" i="5"/>
  <c r="I24" i="5"/>
  <c r="J24" i="5"/>
  <c r="K24" i="5"/>
  <c r="L24" i="5"/>
  <c r="B25" i="5"/>
  <c r="C25" i="5"/>
  <c r="D25" i="5"/>
  <c r="E25" i="5"/>
  <c r="F25" i="5"/>
  <c r="G25" i="5"/>
  <c r="H25" i="5"/>
  <c r="I25" i="5"/>
  <c r="J25" i="5"/>
  <c r="K25" i="5"/>
  <c r="L25" i="5"/>
  <c r="B26" i="5"/>
  <c r="C26" i="5"/>
  <c r="D26" i="5"/>
  <c r="E26" i="5"/>
  <c r="F26" i="5"/>
  <c r="G26" i="5"/>
  <c r="H26" i="5"/>
  <c r="I26" i="5"/>
  <c r="J26" i="5"/>
  <c r="K26" i="5"/>
  <c r="L26" i="5"/>
  <c r="G28" i="5"/>
  <c r="B30" i="5"/>
  <c r="C30" i="5"/>
  <c r="D30" i="5"/>
  <c r="E30" i="5"/>
  <c r="F30" i="5"/>
  <c r="G30" i="5"/>
  <c r="H30" i="5"/>
  <c r="I30" i="5"/>
  <c r="J30" i="5"/>
  <c r="K30" i="5"/>
  <c r="L30" i="5"/>
  <c r="B31" i="5"/>
  <c r="C31" i="5"/>
  <c r="D31" i="5"/>
  <c r="E31" i="5"/>
  <c r="F31" i="5"/>
  <c r="G31" i="5"/>
  <c r="H31" i="5"/>
  <c r="I31" i="5"/>
  <c r="J31" i="5"/>
  <c r="K31" i="5"/>
  <c r="L31" i="5"/>
  <c r="B32" i="5"/>
  <c r="C32" i="5"/>
  <c r="D32" i="5"/>
  <c r="E32" i="5"/>
  <c r="F32" i="5"/>
  <c r="G32" i="5"/>
  <c r="H32" i="5"/>
  <c r="I32" i="5"/>
  <c r="J32" i="5"/>
  <c r="K32" i="5"/>
  <c r="L32" i="5"/>
  <c r="B33" i="5"/>
  <c r="C33" i="5"/>
  <c r="D33" i="5"/>
  <c r="E33" i="5"/>
  <c r="F33" i="5"/>
  <c r="G33" i="5"/>
  <c r="H33" i="5"/>
  <c r="I33" i="5"/>
  <c r="J33" i="5"/>
  <c r="K33" i="5"/>
  <c r="L33" i="5"/>
  <c r="B34" i="5"/>
  <c r="C34" i="5"/>
  <c r="D34" i="5"/>
  <c r="E34" i="5"/>
  <c r="F34" i="5"/>
  <c r="G34" i="5"/>
  <c r="H34" i="5"/>
  <c r="I34" i="5"/>
  <c r="J34" i="5"/>
  <c r="K34" i="5"/>
  <c r="L34" i="5"/>
  <c r="B35" i="5"/>
  <c r="C35" i="5"/>
  <c r="D35" i="5"/>
  <c r="E35" i="5"/>
  <c r="F35" i="5"/>
  <c r="G35" i="5"/>
  <c r="H35" i="5"/>
  <c r="I35" i="5"/>
  <c r="J35" i="5"/>
  <c r="K35" i="5"/>
  <c r="L35" i="5"/>
  <c r="B36" i="5"/>
  <c r="C36" i="5"/>
  <c r="D36" i="5"/>
  <c r="E36" i="5"/>
  <c r="F36" i="5"/>
  <c r="G36" i="5"/>
  <c r="H36" i="5"/>
  <c r="I36" i="5"/>
  <c r="J36" i="5"/>
  <c r="K36" i="5"/>
  <c r="L36" i="5"/>
  <c r="B39" i="5"/>
  <c r="C39" i="5"/>
  <c r="D39" i="5"/>
  <c r="E39" i="5"/>
  <c r="F39" i="5"/>
  <c r="G39" i="5"/>
  <c r="H39" i="5"/>
  <c r="I39" i="5"/>
  <c r="J39" i="5"/>
  <c r="K39" i="5"/>
  <c r="L39" i="5"/>
  <c r="B40" i="5"/>
  <c r="C40" i="5"/>
  <c r="D40" i="5"/>
  <c r="E40" i="5"/>
  <c r="F40" i="5"/>
  <c r="G40" i="5"/>
  <c r="H40" i="5"/>
  <c r="I40" i="5"/>
  <c r="J40" i="5"/>
  <c r="K40" i="5"/>
  <c r="L40" i="5"/>
  <c r="B41" i="5"/>
  <c r="C41" i="5"/>
  <c r="D41" i="5"/>
  <c r="E41" i="5"/>
  <c r="F41" i="5"/>
  <c r="G41" i="5"/>
  <c r="H41" i="5"/>
  <c r="I41" i="5"/>
  <c r="J41" i="5"/>
  <c r="K41" i="5"/>
  <c r="L41" i="5"/>
  <c r="B47" i="5"/>
  <c r="C47" i="5"/>
  <c r="D47" i="5"/>
  <c r="E47" i="5"/>
  <c r="F47" i="5"/>
  <c r="G47" i="5"/>
  <c r="H47" i="5"/>
  <c r="I47" i="5"/>
  <c r="J47" i="5"/>
  <c r="K47" i="5"/>
  <c r="L47" i="5"/>
  <c r="B50" i="5"/>
  <c r="C50" i="5"/>
  <c r="D50" i="5"/>
  <c r="E50" i="5"/>
  <c r="F50" i="5"/>
  <c r="G50" i="5"/>
  <c r="H50" i="5"/>
  <c r="I50" i="5"/>
  <c r="J50" i="5"/>
  <c r="K50" i="5"/>
  <c r="L50" i="5"/>
  <c r="B53" i="5"/>
  <c r="C53" i="5"/>
  <c r="D53" i="5"/>
  <c r="E53" i="5"/>
  <c r="F53" i="5"/>
  <c r="G53" i="5"/>
  <c r="H53" i="5"/>
  <c r="I53" i="5"/>
  <c r="J53" i="5"/>
  <c r="K53" i="5"/>
  <c r="L53" i="5"/>
  <c r="B54" i="5"/>
  <c r="C54" i="5"/>
  <c r="D54" i="5"/>
  <c r="E54" i="5"/>
  <c r="F54" i="5"/>
  <c r="G54" i="5"/>
  <c r="H54" i="5"/>
  <c r="I54" i="5"/>
  <c r="J54" i="5"/>
  <c r="K54" i="5"/>
  <c r="L54" i="5"/>
  <c r="B56" i="5"/>
  <c r="C56" i="5"/>
  <c r="D56" i="5"/>
  <c r="E56" i="5"/>
  <c r="F56" i="5"/>
  <c r="G56" i="5"/>
  <c r="H56" i="5"/>
  <c r="I56" i="5"/>
  <c r="J56" i="5"/>
  <c r="K56" i="5"/>
  <c r="L56" i="5"/>
  <c r="A11" i="5"/>
  <c r="A12" i="5"/>
  <c r="A21" i="5"/>
  <c r="A22" i="5"/>
  <c r="A24" i="5"/>
  <c r="A25" i="5"/>
  <c r="A26" i="5"/>
  <c r="A27" i="5"/>
  <c r="A30" i="5"/>
  <c r="A31" i="5"/>
  <c r="A32" i="5"/>
  <c r="A33" i="5"/>
  <c r="A34" i="5"/>
  <c r="A35" i="5"/>
  <c r="A36" i="5"/>
  <c r="A39" i="5"/>
  <c r="A40" i="5"/>
  <c r="A41" i="5"/>
  <c r="A47" i="5"/>
  <c r="A50" i="5"/>
  <c r="A53" i="5"/>
  <c r="A54" i="5"/>
  <c r="A56" i="5"/>
  <c r="A2" i="4"/>
  <c r="B2" i="4"/>
  <c r="C2" i="4"/>
  <c r="D2" i="4"/>
  <c r="F2" i="4"/>
  <c r="G2" i="4"/>
  <c r="H2" i="4"/>
  <c r="I2" i="4"/>
  <c r="K2" i="4"/>
  <c r="L2" i="4"/>
  <c r="A3" i="4"/>
  <c r="B3" i="4"/>
  <c r="C3" i="4"/>
  <c r="D3" i="4"/>
  <c r="E3" i="4"/>
  <c r="F3" i="4"/>
  <c r="G3" i="4"/>
  <c r="H3" i="4"/>
  <c r="I3" i="4"/>
  <c r="J3" i="4"/>
  <c r="K3" i="4"/>
  <c r="L3" i="4"/>
  <c r="A4" i="4"/>
  <c r="B4" i="4"/>
  <c r="C4" i="4"/>
  <c r="D4" i="4"/>
  <c r="E4" i="4"/>
  <c r="F4" i="4"/>
  <c r="G4" i="4"/>
  <c r="H4" i="4"/>
  <c r="I4" i="4"/>
  <c r="J4" i="4"/>
  <c r="K4" i="4"/>
  <c r="L4" i="4"/>
  <c r="A5" i="4"/>
  <c r="B5" i="4"/>
  <c r="G5" i="4"/>
  <c r="H5" i="4"/>
  <c r="J5" i="4"/>
  <c r="K5" i="4"/>
  <c r="L5" i="4"/>
  <c r="A6" i="4"/>
  <c r="B6" i="4"/>
  <c r="G6" i="4"/>
  <c r="H6" i="4"/>
  <c r="K6" i="4"/>
  <c r="L6" i="4"/>
  <c r="A7" i="4"/>
  <c r="B7" i="4"/>
  <c r="C7" i="4"/>
  <c r="D7" i="4"/>
  <c r="E7" i="4"/>
  <c r="F7" i="4"/>
  <c r="I7" i="4"/>
  <c r="J7" i="4"/>
  <c r="K7" i="4"/>
  <c r="L7" i="4"/>
  <c r="A8" i="4"/>
  <c r="B8" i="4"/>
  <c r="C8" i="4"/>
  <c r="D8" i="4"/>
  <c r="E8" i="4"/>
  <c r="F8" i="4"/>
  <c r="G8" i="4"/>
  <c r="H8" i="4"/>
  <c r="I8" i="4"/>
  <c r="J8" i="4"/>
  <c r="K8" i="4"/>
  <c r="L8" i="4"/>
  <c r="A9" i="4"/>
  <c r="B9" i="4"/>
  <c r="C9" i="4"/>
  <c r="D9" i="4"/>
  <c r="E9" i="4"/>
  <c r="F9" i="4"/>
  <c r="G9" i="4"/>
  <c r="H9" i="4"/>
  <c r="I9" i="4"/>
  <c r="J9" i="4"/>
  <c r="K9" i="4"/>
  <c r="L9" i="4"/>
  <c r="A10" i="4"/>
  <c r="C10" i="4"/>
  <c r="D10" i="4"/>
  <c r="E10" i="4"/>
  <c r="F10" i="4"/>
  <c r="G10" i="4"/>
  <c r="H10" i="4"/>
  <c r="I10" i="4"/>
  <c r="J10" i="4"/>
  <c r="K10" i="4"/>
  <c r="L10" i="4"/>
  <c r="A11" i="4"/>
  <c r="B11" i="4"/>
  <c r="C11" i="4"/>
  <c r="D11" i="4"/>
  <c r="E11" i="4"/>
  <c r="F11" i="4"/>
  <c r="G11" i="4"/>
  <c r="H11" i="4"/>
  <c r="I11" i="4"/>
  <c r="J11" i="4"/>
  <c r="K11" i="4"/>
  <c r="L11" i="4"/>
  <c r="A12" i="4"/>
  <c r="B12" i="4"/>
  <c r="C12" i="4"/>
  <c r="D12" i="4"/>
  <c r="E12" i="4"/>
  <c r="F12" i="4"/>
  <c r="G12" i="4"/>
  <c r="H12" i="4"/>
  <c r="I12" i="4"/>
  <c r="J12" i="4"/>
  <c r="K12" i="4"/>
  <c r="L12" i="4"/>
  <c r="A13" i="4"/>
  <c r="B13" i="4"/>
  <c r="C13" i="4"/>
  <c r="D13" i="4"/>
  <c r="E13" i="4"/>
  <c r="F13" i="4"/>
  <c r="G13" i="4"/>
  <c r="H13" i="4"/>
  <c r="I13" i="4"/>
  <c r="J13" i="4"/>
  <c r="K13" i="4"/>
  <c r="L13" i="4"/>
  <c r="A14" i="4"/>
  <c r="B14" i="4"/>
  <c r="C14" i="4"/>
  <c r="D14" i="4"/>
  <c r="E14" i="4"/>
  <c r="F14" i="4"/>
  <c r="G14" i="4"/>
  <c r="H14" i="4"/>
  <c r="I14" i="4"/>
  <c r="J14" i="4"/>
  <c r="K14" i="4"/>
  <c r="L14" i="4"/>
  <c r="A15" i="4"/>
  <c r="B15" i="4"/>
  <c r="C15" i="4"/>
  <c r="D15" i="4"/>
  <c r="E15" i="4"/>
  <c r="F15" i="4"/>
  <c r="G15" i="4"/>
  <c r="H15" i="4"/>
  <c r="I15" i="4"/>
  <c r="J15" i="4"/>
  <c r="K15" i="4"/>
  <c r="L15" i="4"/>
  <c r="A16" i="4"/>
  <c r="E16" i="4"/>
  <c r="F16" i="4"/>
  <c r="G16" i="4"/>
  <c r="H16" i="4"/>
  <c r="I16" i="4"/>
  <c r="K16" i="4"/>
  <c r="A17" i="4"/>
  <c r="E17" i="4"/>
  <c r="F17" i="4"/>
  <c r="G17" i="4"/>
  <c r="H17" i="4"/>
  <c r="I17" i="4"/>
  <c r="K17" i="4"/>
  <c r="A18" i="4"/>
  <c r="E18" i="4"/>
  <c r="F18" i="4"/>
  <c r="G18" i="4"/>
  <c r="H18" i="4"/>
  <c r="I18" i="4"/>
  <c r="K18" i="4"/>
  <c r="A19" i="4"/>
  <c r="E19" i="4"/>
  <c r="F19" i="4"/>
  <c r="G19" i="4"/>
  <c r="H19" i="4"/>
  <c r="I19" i="4"/>
  <c r="K19" i="4"/>
  <c r="A20" i="4"/>
  <c r="E20" i="4"/>
  <c r="F20" i="4"/>
  <c r="G20" i="4"/>
  <c r="H20" i="4"/>
  <c r="I20" i="4"/>
  <c r="K20" i="4"/>
  <c r="A21" i="4"/>
  <c r="B21" i="4"/>
  <c r="C21" i="4"/>
  <c r="D21" i="4"/>
  <c r="E21" i="4"/>
  <c r="F21" i="4"/>
  <c r="G21" i="4"/>
  <c r="H21" i="4"/>
  <c r="I21" i="4"/>
  <c r="J21" i="4"/>
  <c r="K21" i="4"/>
  <c r="L21" i="4"/>
  <c r="A22" i="4"/>
  <c r="B22" i="4"/>
  <c r="C22" i="4"/>
  <c r="D22" i="4"/>
  <c r="E22" i="4"/>
  <c r="F22" i="4"/>
  <c r="G22" i="4"/>
  <c r="H22" i="4"/>
  <c r="I22" i="4"/>
  <c r="J22" i="4"/>
  <c r="K22" i="4"/>
  <c r="L22" i="4"/>
  <c r="A23" i="4"/>
  <c r="B23" i="4"/>
  <c r="C23" i="4"/>
  <c r="D23" i="4"/>
  <c r="E23" i="4"/>
  <c r="F23" i="4"/>
  <c r="G23" i="4"/>
  <c r="H23" i="4"/>
  <c r="I23" i="4"/>
  <c r="J23" i="4"/>
  <c r="K23" i="4"/>
  <c r="L23" i="4"/>
  <c r="A24" i="4"/>
  <c r="B24" i="4"/>
  <c r="C24" i="4"/>
  <c r="D24" i="4"/>
  <c r="E24" i="4"/>
  <c r="F24" i="4"/>
  <c r="G24" i="4"/>
  <c r="H24" i="4"/>
  <c r="I24" i="4"/>
  <c r="J24" i="4"/>
  <c r="K24" i="4"/>
  <c r="L24" i="4"/>
  <c r="A25" i="4"/>
  <c r="B25" i="4"/>
  <c r="C25" i="4"/>
  <c r="D25" i="4"/>
  <c r="E25" i="4"/>
  <c r="F25" i="4"/>
  <c r="G25" i="4"/>
  <c r="H25" i="4"/>
  <c r="I25" i="4"/>
  <c r="J25" i="4"/>
  <c r="K25" i="4"/>
  <c r="L25" i="4"/>
  <c r="A26" i="4"/>
  <c r="B26" i="4"/>
  <c r="C26" i="4"/>
  <c r="D26" i="4"/>
  <c r="E26" i="4"/>
  <c r="F26" i="4"/>
  <c r="G26" i="4"/>
  <c r="H26" i="4"/>
  <c r="I26" i="4"/>
  <c r="J26" i="4"/>
  <c r="K26" i="4"/>
  <c r="L26" i="4"/>
  <c r="A27" i="4"/>
  <c r="B27" i="4"/>
  <c r="C27" i="4"/>
  <c r="D27" i="4"/>
  <c r="E27" i="4"/>
  <c r="F27" i="4"/>
  <c r="G27" i="4"/>
  <c r="H27" i="4"/>
  <c r="I27" i="4"/>
  <c r="J27" i="4"/>
  <c r="K27" i="4"/>
  <c r="L27" i="4"/>
  <c r="A28" i="4"/>
  <c r="B28" i="4"/>
  <c r="C28" i="4"/>
  <c r="D28" i="4"/>
  <c r="E28" i="4"/>
  <c r="F28" i="4"/>
  <c r="G28" i="4"/>
  <c r="H28" i="4"/>
  <c r="I28" i="4"/>
  <c r="J28" i="4"/>
  <c r="K28" i="4"/>
  <c r="L28" i="4"/>
  <c r="A29" i="4"/>
  <c r="B29" i="4"/>
  <c r="C29" i="4"/>
  <c r="D29" i="4"/>
  <c r="E29" i="4"/>
  <c r="F29" i="4"/>
  <c r="G29" i="4"/>
  <c r="H29" i="4"/>
  <c r="I29" i="4"/>
  <c r="J29" i="4"/>
  <c r="K29" i="4"/>
  <c r="L29" i="4"/>
  <c r="A30" i="4"/>
  <c r="B30" i="4"/>
  <c r="C30" i="4"/>
  <c r="D30" i="4"/>
  <c r="E30" i="4"/>
  <c r="F30" i="4"/>
  <c r="G30" i="4"/>
  <c r="H30" i="4"/>
  <c r="I30" i="4"/>
  <c r="J30" i="4"/>
  <c r="K30" i="4"/>
  <c r="L30" i="4"/>
  <c r="A31" i="4"/>
  <c r="B31" i="4"/>
  <c r="C31" i="4"/>
  <c r="D31" i="4"/>
  <c r="E31" i="4"/>
  <c r="F31" i="4"/>
  <c r="G31" i="4"/>
  <c r="H31" i="4"/>
  <c r="I31" i="4"/>
  <c r="J31" i="4"/>
  <c r="K31" i="4"/>
  <c r="L31" i="4"/>
  <c r="A32" i="4"/>
  <c r="B32" i="4"/>
  <c r="C32" i="4"/>
  <c r="D32" i="4"/>
  <c r="E32" i="4"/>
  <c r="F32" i="4"/>
  <c r="G32" i="4"/>
  <c r="H32" i="4"/>
  <c r="I32" i="4"/>
  <c r="J32" i="4"/>
  <c r="K32" i="4"/>
  <c r="L32" i="4"/>
  <c r="A33" i="4"/>
  <c r="B33" i="4"/>
  <c r="C33" i="4"/>
  <c r="D33" i="4"/>
  <c r="E33" i="4"/>
  <c r="F33" i="4"/>
  <c r="G33" i="4"/>
  <c r="H33" i="4"/>
  <c r="I33" i="4"/>
  <c r="J33" i="4"/>
  <c r="K33" i="4"/>
  <c r="L33" i="4"/>
  <c r="A34" i="4"/>
  <c r="B34" i="4"/>
  <c r="C34" i="4"/>
  <c r="D34" i="4"/>
  <c r="E34" i="4"/>
  <c r="F34" i="4"/>
  <c r="G34" i="4"/>
  <c r="H34" i="4"/>
  <c r="I34" i="4"/>
  <c r="J34" i="4"/>
  <c r="K34" i="4"/>
  <c r="L34" i="4"/>
  <c r="A35" i="4"/>
  <c r="B35" i="4"/>
  <c r="C35" i="4"/>
  <c r="D35" i="4"/>
  <c r="E35" i="4"/>
  <c r="F35" i="4"/>
  <c r="G35" i="4"/>
  <c r="H35" i="4"/>
  <c r="I35" i="4"/>
  <c r="J35" i="4"/>
  <c r="K35" i="4"/>
  <c r="L35" i="4"/>
  <c r="A36" i="4"/>
  <c r="B36" i="4"/>
  <c r="C36" i="4"/>
  <c r="D36" i="4"/>
  <c r="E36" i="4"/>
  <c r="F36" i="4"/>
  <c r="G36" i="4"/>
  <c r="H36" i="4"/>
  <c r="I36" i="4"/>
  <c r="J36" i="4"/>
  <c r="K36" i="4"/>
  <c r="L36" i="4"/>
  <c r="A37" i="4"/>
  <c r="B37" i="4"/>
  <c r="C37" i="4"/>
  <c r="D37" i="4"/>
  <c r="E37" i="4"/>
  <c r="F37" i="4"/>
  <c r="G37" i="4"/>
  <c r="H37" i="4"/>
  <c r="I37" i="4"/>
  <c r="J37" i="4"/>
  <c r="K37" i="4"/>
  <c r="L37" i="4"/>
  <c r="A38" i="4"/>
  <c r="B38" i="4"/>
  <c r="C38" i="4"/>
  <c r="D38" i="4"/>
  <c r="E38" i="4"/>
  <c r="F38" i="4"/>
  <c r="G38" i="4"/>
  <c r="H38" i="4"/>
  <c r="I38" i="4"/>
  <c r="J38" i="4"/>
  <c r="K38" i="4"/>
  <c r="L38" i="4"/>
  <c r="A39" i="4"/>
  <c r="B39" i="4"/>
  <c r="C39" i="4"/>
  <c r="D39" i="4"/>
  <c r="E39" i="4"/>
  <c r="F39" i="4"/>
  <c r="G39" i="4"/>
  <c r="H39" i="4"/>
  <c r="I39" i="4"/>
  <c r="J39" i="4"/>
  <c r="K39" i="4"/>
  <c r="L39" i="4"/>
  <c r="A40" i="4"/>
  <c r="B40" i="4"/>
  <c r="C40" i="4"/>
  <c r="D40" i="4"/>
  <c r="E40" i="4"/>
  <c r="F40" i="4"/>
  <c r="G40" i="4"/>
  <c r="H40" i="4"/>
  <c r="I40" i="4"/>
  <c r="J40" i="4"/>
  <c r="K40" i="4"/>
  <c r="L40" i="4"/>
  <c r="A41" i="4"/>
  <c r="B41" i="4"/>
  <c r="C41" i="4"/>
  <c r="D41" i="4"/>
  <c r="E41" i="4"/>
  <c r="F41" i="4"/>
  <c r="G41" i="4"/>
  <c r="H41" i="4"/>
  <c r="I41" i="4"/>
  <c r="J41" i="4"/>
  <c r="K41" i="4"/>
  <c r="L41" i="4"/>
  <c r="A42" i="4"/>
  <c r="B42" i="4"/>
  <c r="C42" i="4"/>
  <c r="D42" i="4"/>
  <c r="E42" i="4"/>
  <c r="F42" i="4"/>
  <c r="G42" i="4"/>
  <c r="H42" i="4"/>
  <c r="I42" i="4"/>
  <c r="J42" i="4"/>
  <c r="K42" i="4"/>
  <c r="L42" i="4"/>
  <c r="A43" i="4"/>
  <c r="B43" i="4"/>
  <c r="C43" i="4"/>
  <c r="D43" i="4"/>
  <c r="E43" i="4"/>
  <c r="F43" i="4"/>
  <c r="G43" i="4"/>
  <c r="K43" i="4"/>
  <c r="L43" i="4"/>
  <c r="A44" i="4"/>
  <c r="B44" i="4"/>
  <c r="C44" i="4"/>
  <c r="D44" i="4"/>
  <c r="E44" i="4"/>
  <c r="F44" i="4"/>
  <c r="G44" i="4"/>
  <c r="K44" i="4"/>
  <c r="L44" i="4"/>
  <c r="A45" i="4"/>
  <c r="B45" i="4"/>
  <c r="C45" i="4"/>
  <c r="D45" i="4"/>
  <c r="E45" i="4"/>
  <c r="F45" i="4"/>
  <c r="G45" i="4"/>
  <c r="H45" i="4"/>
  <c r="I45" i="4"/>
  <c r="J45" i="4"/>
  <c r="K45" i="4"/>
  <c r="L45" i="4"/>
  <c r="A46" i="4"/>
  <c r="B46" i="4"/>
  <c r="C46" i="4"/>
  <c r="D46" i="4"/>
  <c r="E46" i="4"/>
  <c r="F46" i="4"/>
  <c r="G46" i="4"/>
  <c r="H46" i="4"/>
  <c r="I46" i="4"/>
  <c r="J46" i="4"/>
  <c r="K46" i="4"/>
  <c r="L46" i="4"/>
  <c r="A47" i="4"/>
  <c r="B47" i="4"/>
  <c r="C47" i="4"/>
  <c r="D47" i="4"/>
  <c r="E47" i="4"/>
  <c r="F47" i="4"/>
  <c r="G47" i="4"/>
  <c r="H47" i="4"/>
  <c r="I47" i="4"/>
  <c r="J47" i="4"/>
  <c r="K47" i="4"/>
  <c r="L47" i="4"/>
  <c r="A48" i="4"/>
  <c r="B48" i="4"/>
  <c r="C48" i="4"/>
  <c r="D48" i="4"/>
  <c r="E48" i="4"/>
  <c r="F48" i="4"/>
  <c r="G48" i="4"/>
  <c r="H48" i="4"/>
  <c r="I48" i="4"/>
  <c r="J48" i="4"/>
  <c r="K48" i="4"/>
  <c r="L48" i="4"/>
  <c r="A49" i="4"/>
  <c r="B49" i="4"/>
  <c r="C49" i="4"/>
  <c r="D49" i="4"/>
  <c r="E49" i="4"/>
  <c r="F49" i="4"/>
  <c r="G49" i="4"/>
  <c r="H49" i="4"/>
  <c r="I49" i="4"/>
  <c r="J49" i="4"/>
  <c r="K49" i="4"/>
  <c r="L49" i="4"/>
  <c r="A50" i="4"/>
  <c r="B50" i="4"/>
  <c r="C50" i="4"/>
  <c r="D50" i="4"/>
  <c r="E50" i="4"/>
  <c r="F50" i="4"/>
  <c r="G50" i="4"/>
  <c r="H50" i="4"/>
  <c r="I50" i="4"/>
  <c r="J50" i="4"/>
  <c r="K50" i="4"/>
  <c r="L50" i="4"/>
  <c r="A51" i="4"/>
  <c r="B51" i="4"/>
  <c r="C51" i="4"/>
  <c r="D51" i="4"/>
  <c r="E51" i="4"/>
  <c r="F51" i="4"/>
  <c r="G51" i="4"/>
  <c r="H51" i="4"/>
  <c r="I51" i="4"/>
  <c r="J51" i="4"/>
  <c r="K51" i="4"/>
  <c r="A52" i="4"/>
  <c r="B52" i="4"/>
  <c r="C52" i="4"/>
  <c r="D52" i="4"/>
  <c r="E52" i="4"/>
  <c r="F52" i="4"/>
  <c r="G52" i="4"/>
  <c r="H52" i="4"/>
  <c r="I52" i="4"/>
  <c r="J52" i="4"/>
  <c r="K52" i="4"/>
  <c r="A53" i="4"/>
  <c r="B53" i="4"/>
  <c r="C53" i="4"/>
  <c r="D53" i="4"/>
  <c r="E53" i="4"/>
  <c r="F53" i="4"/>
  <c r="G53" i="4"/>
  <c r="H53" i="4"/>
  <c r="I53" i="4"/>
  <c r="J53" i="4"/>
  <c r="K53" i="4"/>
  <c r="L53" i="4"/>
  <c r="A54" i="4"/>
  <c r="B54" i="4"/>
  <c r="C54" i="4"/>
  <c r="D54" i="4"/>
  <c r="E54" i="4"/>
  <c r="F54" i="4"/>
  <c r="G54" i="4"/>
  <c r="H54" i="4"/>
  <c r="I54" i="4"/>
  <c r="J54" i="4"/>
  <c r="K54" i="4"/>
  <c r="L54" i="4"/>
  <c r="A55" i="4"/>
  <c r="B55" i="4"/>
  <c r="C55" i="4"/>
  <c r="D55" i="4"/>
  <c r="E55" i="4"/>
  <c r="F55" i="4"/>
  <c r="G55" i="4"/>
  <c r="H55" i="4"/>
  <c r="I55" i="4"/>
  <c r="K55" i="4"/>
  <c r="A56" i="4"/>
  <c r="B56" i="4"/>
  <c r="C56" i="4"/>
  <c r="D56" i="4"/>
  <c r="E56" i="4"/>
  <c r="F56" i="4"/>
  <c r="G56" i="4"/>
  <c r="H56" i="4"/>
  <c r="I56" i="4"/>
  <c r="J56" i="4"/>
  <c r="K56" i="4"/>
  <c r="L56" i="4"/>
  <c r="A57" i="4"/>
  <c r="B57" i="4"/>
  <c r="C57" i="4"/>
  <c r="D57" i="4"/>
  <c r="E57" i="4"/>
  <c r="F57" i="4"/>
  <c r="G57" i="4"/>
  <c r="H57" i="4"/>
  <c r="I57" i="4"/>
  <c r="J57" i="4"/>
  <c r="K57" i="4"/>
  <c r="L57" i="4"/>
  <c r="B1" i="4"/>
  <c r="C1" i="4"/>
  <c r="D1" i="4"/>
  <c r="F1" i="4"/>
  <c r="G1" i="4"/>
  <c r="H1" i="4"/>
  <c r="I1" i="4"/>
  <c r="K1" i="4"/>
  <c r="L1" i="4"/>
  <c r="A1" i="4"/>
  <c r="D3" i="1"/>
  <c r="D4" i="1"/>
  <c r="J3" i="3" s="1"/>
  <c r="D5" i="1"/>
  <c r="B4" i="2" s="1"/>
  <c r="D6" i="1"/>
  <c r="H5" i="5" s="1"/>
  <c r="D7" i="1"/>
  <c r="D8" i="1"/>
  <c r="J7" i="2" s="1"/>
  <c r="D9" i="1"/>
  <c r="C8" i="5" s="1"/>
  <c r="D10" i="1"/>
  <c r="H9" i="5" s="1"/>
  <c r="D11" i="1"/>
  <c r="B10" i="5" s="1"/>
  <c r="D12" i="1"/>
  <c r="J11" i="3" s="1"/>
  <c r="D13" i="1"/>
  <c r="D14" i="1"/>
  <c r="D15" i="1"/>
  <c r="D16" i="1"/>
  <c r="A15" i="2" s="1"/>
  <c r="D17" i="1"/>
  <c r="D16" i="5" s="1"/>
  <c r="D18" i="1"/>
  <c r="D19" i="1"/>
  <c r="J18" i="4" s="1"/>
  <c r="D20" i="1"/>
  <c r="D21" i="1"/>
  <c r="H20" i="5" s="1"/>
  <c r="D22" i="1"/>
  <c r="D23" i="1"/>
  <c r="D24" i="1"/>
  <c r="K23" i="5" s="1"/>
  <c r="D25" i="1"/>
  <c r="D26" i="1"/>
  <c r="D27" i="1"/>
  <c r="D28" i="1"/>
  <c r="B27" i="5" s="1"/>
  <c r="D29" i="1"/>
  <c r="K28" i="5" s="1"/>
  <c r="D30" i="1"/>
  <c r="D29" i="5" s="1"/>
  <c r="D31" i="1"/>
  <c r="D32" i="1"/>
  <c r="D33" i="1"/>
  <c r="D34" i="1"/>
  <c r="D35" i="1"/>
  <c r="D36" i="1"/>
  <c r="D37" i="1"/>
  <c r="D38" i="1"/>
  <c r="H37" i="5" s="1"/>
  <c r="D39" i="1"/>
  <c r="I38" i="5" s="1"/>
  <c r="D40" i="1"/>
  <c r="D41" i="1"/>
  <c r="D42" i="1"/>
  <c r="D43" i="1"/>
  <c r="F42" i="2" s="1"/>
  <c r="D44" i="1"/>
  <c r="H43" i="4" s="1"/>
  <c r="D45" i="1"/>
  <c r="A44" i="2" s="1"/>
  <c r="D46" i="1"/>
  <c r="F45" i="5" s="1"/>
  <c r="D47" i="1"/>
  <c r="E46" i="5" s="1"/>
  <c r="D48" i="1"/>
  <c r="D49" i="1"/>
  <c r="A48" i="2" s="1"/>
  <c r="D50" i="1"/>
  <c r="D51" i="1"/>
  <c r="D52" i="1"/>
  <c r="L51" i="4" s="1"/>
  <c r="D53" i="1"/>
  <c r="G52" i="5" s="1"/>
  <c r="D54" i="1"/>
  <c r="D55" i="1"/>
  <c r="D56" i="1"/>
  <c r="C55" i="5" s="1"/>
  <c r="D57" i="1"/>
  <c r="D58" i="1"/>
  <c r="D2" i="1"/>
  <c r="A1" i="5" s="1"/>
  <c r="H9" i="3" l="1"/>
  <c r="J43" i="4"/>
  <c r="H7" i="4"/>
  <c r="A55" i="5"/>
  <c r="A9" i="5"/>
  <c r="D28" i="5"/>
  <c r="F23" i="5"/>
  <c r="L15" i="5"/>
  <c r="I11" i="5"/>
  <c r="C7" i="5"/>
  <c r="C27" i="2"/>
  <c r="L45" i="2"/>
  <c r="H4" i="3"/>
  <c r="L55" i="4"/>
  <c r="I43" i="4"/>
  <c r="A8" i="5"/>
  <c r="K55" i="5"/>
  <c r="J27" i="5"/>
  <c r="C23" i="5"/>
  <c r="H15" i="5"/>
  <c r="E11" i="5"/>
  <c r="I5" i="5"/>
  <c r="D55" i="2"/>
  <c r="K45" i="2"/>
  <c r="B27" i="2"/>
  <c r="H15" i="2"/>
  <c r="D11" i="2"/>
  <c r="F5" i="4"/>
  <c r="A7" i="5"/>
  <c r="J55" i="5"/>
  <c r="G27" i="5"/>
  <c r="G15" i="5"/>
  <c r="D11" i="5"/>
  <c r="I4" i="5"/>
  <c r="B55" i="2"/>
  <c r="A45" i="2"/>
  <c r="F29" i="2"/>
  <c r="B15" i="2"/>
  <c r="F7" i="2"/>
  <c r="B5" i="2"/>
  <c r="A23" i="5"/>
  <c r="A5" i="5"/>
  <c r="I55" i="5"/>
  <c r="L45" i="5"/>
  <c r="F27" i="5"/>
  <c r="D15" i="5"/>
  <c r="H4" i="5"/>
  <c r="G28" i="2"/>
  <c r="H23" i="2"/>
  <c r="B7" i="2"/>
  <c r="E3" i="2"/>
  <c r="J44" i="4"/>
  <c r="A4" i="5"/>
  <c r="F55" i="5"/>
  <c r="L29" i="5"/>
  <c r="H8" i="5"/>
  <c r="J3" i="5"/>
  <c r="E37" i="2"/>
  <c r="E28" i="2"/>
  <c r="D23" i="2"/>
  <c r="I44" i="4"/>
  <c r="A3" i="5"/>
  <c r="E55" i="5"/>
  <c r="G8" i="5"/>
  <c r="H3" i="5"/>
  <c r="C23" i="2"/>
  <c r="A8" i="2"/>
  <c r="H44" i="4"/>
  <c r="L28" i="5"/>
  <c r="H7" i="5"/>
  <c r="D3" i="5"/>
  <c r="B14" i="2"/>
  <c r="F14" i="2"/>
  <c r="J14" i="2"/>
  <c r="D14" i="2"/>
  <c r="I14" i="2"/>
  <c r="D14" i="5"/>
  <c r="H14" i="5"/>
  <c r="L14" i="5"/>
  <c r="E14" i="2"/>
  <c r="K14" i="2"/>
  <c r="E14" i="5"/>
  <c r="I14" i="5"/>
  <c r="H6" i="3"/>
  <c r="B6" i="2"/>
  <c r="D6" i="5"/>
  <c r="H6" i="5"/>
  <c r="L6" i="5"/>
  <c r="A6" i="2"/>
  <c r="E6" i="5"/>
  <c r="J6" i="5"/>
  <c r="G6" i="2"/>
  <c r="K6" i="2"/>
  <c r="F6" i="5"/>
  <c r="K6" i="5"/>
  <c r="A2" i="2"/>
  <c r="H2" i="3"/>
  <c r="L2" i="3"/>
  <c r="B2" i="2"/>
  <c r="F2" i="2"/>
  <c r="D2" i="5"/>
  <c r="H2" i="5"/>
  <c r="L2" i="5"/>
  <c r="C2" i="2"/>
  <c r="F2" i="5"/>
  <c r="K2" i="5"/>
  <c r="I2" i="3"/>
  <c r="D2" i="2"/>
  <c r="B2" i="5"/>
  <c r="G2" i="5"/>
  <c r="B10" i="4"/>
  <c r="F6" i="4"/>
  <c r="F58" i="4" s="1"/>
  <c r="J62" i="1" s="1"/>
  <c r="J69" i="1" s="1"/>
  <c r="J2" i="4"/>
  <c r="A14" i="5"/>
  <c r="E38" i="5"/>
  <c r="K14" i="5"/>
  <c r="C14" i="5"/>
  <c r="G10" i="5"/>
  <c r="I6" i="5"/>
  <c r="J2" i="5"/>
  <c r="J1" i="5"/>
  <c r="K1" i="2"/>
  <c r="G1" i="2"/>
  <c r="E38" i="2"/>
  <c r="C14" i="2"/>
  <c r="L38" i="2"/>
  <c r="L14" i="2"/>
  <c r="L6" i="2"/>
  <c r="D45" i="2"/>
  <c r="H45" i="2"/>
  <c r="C45" i="2"/>
  <c r="I45" i="2"/>
  <c r="C45" i="5"/>
  <c r="G45" i="5"/>
  <c r="K45" i="5"/>
  <c r="E45" i="2"/>
  <c r="J45" i="2"/>
  <c r="C37" i="2"/>
  <c r="G37" i="2"/>
  <c r="K37" i="2"/>
  <c r="A37" i="2"/>
  <c r="F37" i="2"/>
  <c r="B37" i="5"/>
  <c r="F37" i="5"/>
  <c r="J37" i="5"/>
  <c r="B37" i="2"/>
  <c r="H37" i="2"/>
  <c r="C37" i="5"/>
  <c r="G37" i="5"/>
  <c r="K37" i="5"/>
  <c r="J9" i="3"/>
  <c r="A9" i="2"/>
  <c r="E9" i="2"/>
  <c r="C9" i="5"/>
  <c r="G9" i="5"/>
  <c r="K9" i="5"/>
  <c r="F9" i="2"/>
  <c r="D9" i="5"/>
  <c r="I9" i="5"/>
  <c r="B9" i="2"/>
  <c r="G9" i="2"/>
  <c r="K9" i="2"/>
  <c r="E9" i="5"/>
  <c r="J9" i="5"/>
  <c r="E1" i="4"/>
  <c r="I6" i="4"/>
  <c r="E5" i="4"/>
  <c r="E2" i="4"/>
  <c r="A38" i="5"/>
  <c r="E45" i="5"/>
  <c r="J38" i="5"/>
  <c r="E37" i="5"/>
  <c r="B14" i="5"/>
  <c r="F9" i="5"/>
  <c r="I1" i="5"/>
  <c r="C38" i="2"/>
  <c r="D9" i="2"/>
  <c r="L37" i="2"/>
  <c r="L1" i="3"/>
  <c r="D6" i="4"/>
  <c r="I45" i="5"/>
  <c r="D37" i="5"/>
  <c r="C6" i="5"/>
  <c r="E2" i="5"/>
  <c r="B1" i="2"/>
  <c r="F1" i="2"/>
  <c r="C1" i="5"/>
  <c r="G1" i="5"/>
  <c r="K1" i="5"/>
  <c r="C1" i="2"/>
  <c r="A1" i="2"/>
  <c r="F1" i="5"/>
  <c r="L1" i="5"/>
  <c r="D1" i="2"/>
  <c r="B1" i="5"/>
  <c r="H1" i="5"/>
  <c r="D38" i="2"/>
  <c r="H38" i="2"/>
  <c r="A38" i="2"/>
  <c r="F38" i="2"/>
  <c r="K38" i="2"/>
  <c r="C38" i="5"/>
  <c r="G38" i="5"/>
  <c r="K38" i="5"/>
  <c r="B38" i="2"/>
  <c r="G38" i="2"/>
  <c r="D38" i="5"/>
  <c r="H38" i="5"/>
  <c r="L38" i="5"/>
  <c r="H10" i="3"/>
  <c r="F10" i="2"/>
  <c r="D10" i="5"/>
  <c r="H10" i="5"/>
  <c r="I10" i="3"/>
  <c r="L10" i="2"/>
  <c r="C10" i="2"/>
  <c r="C10" i="5"/>
  <c r="I10" i="5"/>
  <c r="J10" i="3"/>
  <c r="D10" i="2"/>
  <c r="E10" i="5"/>
  <c r="J10" i="5"/>
  <c r="J1" i="4"/>
  <c r="J6" i="4"/>
  <c r="I1" i="3"/>
  <c r="C29" i="2"/>
  <c r="G29" i="2"/>
  <c r="K29" i="2"/>
  <c r="B29" i="2"/>
  <c r="H29" i="2"/>
  <c r="B29" i="5"/>
  <c r="F29" i="5"/>
  <c r="J29" i="5"/>
  <c r="D29" i="2"/>
  <c r="I29" i="2"/>
  <c r="C29" i="5"/>
  <c r="G29" i="5"/>
  <c r="K29" i="5"/>
  <c r="A5" i="2"/>
  <c r="C5" i="5"/>
  <c r="G5" i="5"/>
  <c r="K5" i="5"/>
  <c r="E5" i="5"/>
  <c r="J5" i="5"/>
  <c r="H5" i="3"/>
  <c r="L5" i="2"/>
  <c r="F5" i="5"/>
  <c r="L5" i="5"/>
  <c r="E6" i="4"/>
  <c r="I5" i="4"/>
  <c r="A45" i="5"/>
  <c r="J45" i="5"/>
  <c r="B38" i="5"/>
  <c r="I29" i="5"/>
  <c r="J14" i="5"/>
  <c r="F10" i="5"/>
  <c r="G6" i="5"/>
  <c r="I2" i="5"/>
  <c r="G45" i="2"/>
  <c r="D37" i="2"/>
  <c r="E29" i="2"/>
  <c r="A14" i="2"/>
  <c r="A10" i="2"/>
  <c r="L29" i="2"/>
  <c r="H1" i="3"/>
  <c r="L28" i="2"/>
  <c r="B28" i="2"/>
  <c r="F28" i="2"/>
  <c r="J28" i="2"/>
  <c r="C28" i="2"/>
  <c r="H28" i="2"/>
  <c r="E28" i="5"/>
  <c r="I28" i="5"/>
  <c r="D28" i="2"/>
  <c r="I28" i="2"/>
  <c r="B28" i="5"/>
  <c r="F28" i="5"/>
  <c r="J28" i="5"/>
  <c r="I8" i="3"/>
  <c r="J8" i="3"/>
  <c r="L8" i="2"/>
  <c r="D8" i="2"/>
  <c r="B8" i="5"/>
  <c r="F8" i="5"/>
  <c r="J8" i="5"/>
  <c r="B8" i="2"/>
  <c r="G8" i="2"/>
  <c r="K8" i="2"/>
  <c r="D8" i="5"/>
  <c r="I8" i="5"/>
  <c r="H8" i="3"/>
  <c r="C8" i="2"/>
  <c r="E8" i="5"/>
  <c r="K8" i="5"/>
  <c r="I4" i="3"/>
  <c r="C4" i="2"/>
  <c r="G4" i="2"/>
  <c r="L4" i="2"/>
  <c r="D4" i="2"/>
  <c r="B4" i="5"/>
  <c r="F4" i="5"/>
  <c r="J4" i="5"/>
  <c r="E4" i="2"/>
  <c r="E4" i="5"/>
  <c r="K4" i="5"/>
  <c r="F4" i="2"/>
  <c r="K4" i="2"/>
  <c r="G4" i="5"/>
  <c r="L4" i="5"/>
  <c r="D5" i="4"/>
  <c r="A37" i="5"/>
  <c r="A29" i="5"/>
  <c r="D45" i="5"/>
  <c r="L37" i="5"/>
  <c r="H29" i="5"/>
  <c r="C28" i="5"/>
  <c r="G14" i="5"/>
  <c r="L10" i="5"/>
  <c r="B9" i="5"/>
  <c r="D5" i="5"/>
  <c r="D4" i="5"/>
  <c r="E1" i="5"/>
  <c r="F45" i="2"/>
  <c r="J38" i="2"/>
  <c r="J37" i="2"/>
  <c r="A29" i="2"/>
  <c r="A28" i="2"/>
  <c r="H14" i="2"/>
  <c r="K10" i="2"/>
  <c r="G10" i="2"/>
  <c r="C9" i="2"/>
  <c r="F8" i="2"/>
  <c r="K2" i="2"/>
  <c r="G2" i="2"/>
  <c r="H55" i="3"/>
  <c r="I55" i="3"/>
  <c r="C55" i="2"/>
  <c r="G55" i="2"/>
  <c r="K55" i="2"/>
  <c r="E55" i="2"/>
  <c r="D55" i="5"/>
  <c r="H55" i="5"/>
  <c r="A55" i="2"/>
  <c r="F55" i="2"/>
  <c r="L27" i="2"/>
  <c r="H27" i="3"/>
  <c r="A27" i="2"/>
  <c r="E27" i="2"/>
  <c r="D27" i="2"/>
  <c r="D27" i="5"/>
  <c r="H27" i="5"/>
  <c r="L27" i="5"/>
  <c r="I27" i="3"/>
  <c r="F27" i="2"/>
  <c r="E27" i="5"/>
  <c r="I27" i="5"/>
  <c r="L23" i="2"/>
  <c r="A23" i="2"/>
  <c r="E23" i="2"/>
  <c r="I23" i="2"/>
  <c r="F23" i="2"/>
  <c r="K23" i="2"/>
  <c r="D23" i="5"/>
  <c r="H23" i="5"/>
  <c r="L23" i="5"/>
  <c r="B23" i="2"/>
  <c r="G23" i="2"/>
  <c r="E23" i="5"/>
  <c r="I23" i="5"/>
  <c r="L15" i="2"/>
  <c r="C15" i="2"/>
  <c r="G15" i="2"/>
  <c r="K15" i="2"/>
  <c r="D15" i="2"/>
  <c r="I15" i="2"/>
  <c r="E15" i="5"/>
  <c r="I15" i="5"/>
  <c r="E15" i="2"/>
  <c r="J15" i="2"/>
  <c r="B15" i="5"/>
  <c r="F15" i="5"/>
  <c r="J15" i="5"/>
  <c r="H11" i="3"/>
  <c r="L11" i="2"/>
  <c r="I11" i="3"/>
  <c r="C11" i="2"/>
  <c r="G11" i="2"/>
  <c r="K11" i="2"/>
  <c r="A11" i="2"/>
  <c r="F11" i="2"/>
  <c r="B11" i="5"/>
  <c r="F11" i="5"/>
  <c r="J11" i="5"/>
  <c r="C11" i="5"/>
  <c r="G11" i="5"/>
  <c r="K11" i="5"/>
  <c r="L7" i="2"/>
  <c r="C7" i="2"/>
  <c r="K7" i="2"/>
  <c r="E7" i="5"/>
  <c r="I7" i="5"/>
  <c r="D7" i="2"/>
  <c r="D7" i="5"/>
  <c r="J7" i="5"/>
  <c r="E7" i="2"/>
  <c r="F7" i="5"/>
  <c r="K7" i="5"/>
  <c r="H3" i="3"/>
  <c r="L3" i="2"/>
  <c r="B3" i="2"/>
  <c r="F3" i="2"/>
  <c r="I3" i="3"/>
  <c r="C3" i="2"/>
  <c r="G3" i="2"/>
  <c r="K3" i="2"/>
  <c r="E3" i="5"/>
  <c r="I3" i="5"/>
  <c r="A3" i="2"/>
  <c r="F3" i="5"/>
  <c r="K3" i="5"/>
  <c r="D3" i="2"/>
  <c r="B3" i="5"/>
  <c r="G3" i="5"/>
  <c r="L3" i="5"/>
  <c r="J55" i="4"/>
  <c r="G7" i="4"/>
  <c r="C6" i="4"/>
  <c r="C5" i="4"/>
  <c r="A28" i="5"/>
  <c r="A15" i="5"/>
  <c r="A10" i="5"/>
  <c r="A6" i="5"/>
  <c r="A2" i="5"/>
  <c r="L55" i="5"/>
  <c r="G55" i="5"/>
  <c r="B55" i="5"/>
  <c r="H45" i="5"/>
  <c r="B45" i="5"/>
  <c r="F38" i="5"/>
  <c r="I37" i="5"/>
  <c r="E29" i="5"/>
  <c r="H28" i="5"/>
  <c r="K27" i="5"/>
  <c r="C27" i="5"/>
  <c r="J23" i="5"/>
  <c r="B23" i="5"/>
  <c r="K15" i="5"/>
  <c r="C15" i="5"/>
  <c r="F14" i="5"/>
  <c r="H11" i="5"/>
  <c r="K10" i="5"/>
  <c r="L9" i="5"/>
  <c r="L8" i="5"/>
  <c r="L7" i="5"/>
  <c r="B7" i="5"/>
  <c r="B6" i="5"/>
  <c r="B5" i="5"/>
  <c r="C4" i="5"/>
  <c r="C3" i="5"/>
  <c r="C2" i="5"/>
  <c r="D1" i="5"/>
  <c r="B45" i="2"/>
  <c r="I38" i="2"/>
  <c r="I37" i="2"/>
  <c r="J29" i="2"/>
  <c r="K28" i="2"/>
  <c r="K27" i="2"/>
  <c r="G27" i="2"/>
  <c r="J23" i="2"/>
  <c r="F15" i="2"/>
  <c r="G14" i="2"/>
  <c r="E11" i="2"/>
  <c r="E10" i="2"/>
  <c r="E8" i="2"/>
  <c r="A7" i="2"/>
  <c r="K5" i="2"/>
  <c r="G5" i="2"/>
  <c r="L9" i="2"/>
  <c r="J27" i="3"/>
  <c r="I9" i="3"/>
  <c r="C46" i="2"/>
  <c r="B42" i="2"/>
  <c r="J46" i="3"/>
  <c r="D18" i="4"/>
  <c r="I46" i="5"/>
  <c r="I42" i="5"/>
  <c r="I18" i="5"/>
  <c r="L18" i="4"/>
  <c r="G16" i="5"/>
  <c r="J16" i="4"/>
  <c r="D48" i="5"/>
  <c r="C16" i="5"/>
  <c r="B16" i="4"/>
  <c r="H48" i="5"/>
  <c r="C20" i="5"/>
  <c r="H44" i="2"/>
  <c r="H52" i="3"/>
  <c r="J20" i="4"/>
  <c r="L52" i="5"/>
  <c r="D44" i="2"/>
  <c r="K44" i="5"/>
  <c r="E42" i="5"/>
  <c r="K20" i="5"/>
  <c r="E18" i="5"/>
  <c r="E52" i="2"/>
  <c r="H48" i="2"/>
  <c r="F46" i="2"/>
  <c r="J42" i="2"/>
  <c r="K18" i="2"/>
  <c r="G18" i="2"/>
  <c r="L44" i="2"/>
  <c r="B20" i="4"/>
  <c r="C44" i="5"/>
  <c r="B18" i="4"/>
  <c r="H52" i="5"/>
  <c r="L52" i="4"/>
  <c r="L20" i="4"/>
  <c r="D20" i="4"/>
  <c r="L16" i="4"/>
  <c r="D16" i="4"/>
  <c r="A52" i="5"/>
  <c r="D52" i="5"/>
  <c r="L48" i="5"/>
  <c r="G44" i="5"/>
  <c r="G20" i="5"/>
  <c r="K16" i="5"/>
  <c r="A52" i="2"/>
  <c r="D48" i="2"/>
  <c r="L57" i="2"/>
  <c r="C57" i="2"/>
  <c r="G57" i="2"/>
  <c r="K57" i="2"/>
  <c r="B57" i="5"/>
  <c r="F57" i="5"/>
  <c r="J57" i="5"/>
  <c r="D57" i="2"/>
  <c r="H57" i="2"/>
  <c r="C57" i="5"/>
  <c r="G57" i="5"/>
  <c r="K57" i="5"/>
  <c r="L49" i="2"/>
  <c r="C49" i="2"/>
  <c r="G49" i="2"/>
  <c r="K49" i="2"/>
  <c r="B49" i="5"/>
  <c r="F49" i="5"/>
  <c r="J49" i="5"/>
  <c r="D49" i="2"/>
  <c r="H49" i="2"/>
  <c r="C49" i="5"/>
  <c r="G49" i="5"/>
  <c r="K49" i="5"/>
  <c r="F17" i="3"/>
  <c r="G17" i="2"/>
  <c r="K17" i="2"/>
  <c r="B17" i="5"/>
  <c r="F17" i="5"/>
  <c r="J17" i="5"/>
  <c r="C17" i="5"/>
  <c r="G17" i="5"/>
  <c r="K17" i="5"/>
  <c r="H17" i="3"/>
  <c r="F13" i="3"/>
  <c r="J13" i="3"/>
  <c r="G13" i="2"/>
  <c r="K13" i="2"/>
  <c r="B13" i="5"/>
  <c r="F13" i="5"/>
  <c r="J13" i="5"/>
  <c r="C13" i="3"/>
  <c r="C58" i="3" s="1"/>
  <c r="G61" i="1" s="1"/>
  <c r="G68" i="1" s="1"/>
  <c r="D13" i="2"/>
  <c r="C13" i="5"/>
  <c r="G13" i="5"/>
  <c r="K13" i="5"/>
  <c r="H13" i="3"/>
  <c r="L13" i="3"/>
  <c r="H51" i="3"/>
  <c r="A51" i="2"/>
  <c r="E51" i="2"/>
  <c r="D51" i="5"/>
  <c r="H51" i="5"/>
  <c r="L51" i="5"/>
  <c r="A51" i="5"/>
  <c r="I51" i="3"/>
  <c r="B51" i="2"/>
  <c r="F51" i="2"/>
  <c r="E51" i="5"/>
  <c r="I51" i="5"/>
  <c r="A43" i="2"/>
  <c r="E43" i="2"/>
  <c r="I43" i="2"/>
  <c r="D43" i="5"/>
  <c r="H43" i="5"/>
  <c r="L43" i="5"/>
  <c r="A43" i="5"/>
  <c r="B43" i="2"/>
  <c r="F43" i="2"/>
  <c r="J43" i="2"/>
  <c r="E43" i="5"/>
  <c r="I43" i="5"/>
  <c r="H19" i="3"/>
  <c r="A19" i="3"/>
  <c r="D19" i="5"/>
  <c r="H19" i="5"/>
  <c r="L19" i="5"/>
  <c r="A19" i="5"/>
  <c r="E19" i="3"/>
  <c r="I19" i="3"/>
  <c r="E19" i="5"/>
  <c r="I19" i="5"/>
  <c r="F19" i="3"/>
  <c r="J19" i="4"/>
  <c r="B19" i="4"/>
  <c r="J17" i="4"/>
  <c r="B17" i="4"/>
  <c r="E57" i="5"/>
  <c r="K51" i="5"/>
  <c r="C51" i="5"/>
  <c r="E49" i="5"/>
  <c r="F43" i="5"/>
  <c r="F19" i="5"/>
  <c r="L17" i="5"/>
  <c r="D17" i="5"/>
  <c r="E13" i="5"/>
  <c r="E57" i="2"/>
  <c r="I49" i="2"/>
  <c r="A49" i="2"/>
  <c r="G43" i="2"/>
  <c r="A17" i="3"/>
  <c r="E17" i="3"/>
  <c r="D46" i="2"/>
  <c r="C46" i="5"/>
  <c r="G46" i="5"/>
  <c r="K46" i="5"/>
  <c r="H46" i="3"/>
  <c r="L46" i="2"/>
  <c r="A46" i="2"/>
  <c r="D46" i="5"/>
  <c r="H46" i="5"/>
  <c r="L46" i="5"/>
  <c r="I46" i="3"/>
  <c r="D42" i="2"/>
  <c r="H42" i="2"/>
  <c r="C42" i="5"/>
  <c r="G42" i="5"/>
  <c r="K42" i="5"/>
  <c r="L42" i="2"/>
  <c r="A42" i="2"/>
  <c r="E42" i="2"/>
  <c r="I42" i="2"/>
  <c r="D42" i="5"/>
  <c r="H42" i="5"/>
  <c r="L42" i="5"/>
  <c r="C18" i="5"/>
  <c r="G18" i="5"/>
  <c r="K18" i="5"/>
  <c r="H18" i="3"/>
  <c r="D18" i="5"/>
  <c r="H18" i="5"/>
  <c r="L18" i="5"/>
  <c r="E18" i="3"/>
  <c r="I18" i="3"/>
  <c r="A46" i="5"/>
  <c r="A18" i="5"/>
  <c r="A13" i="5"/>
  <c r="L57" i="5"/>
  <c r="D57" i="5"/>
  <c r="J51" i="5"/>
  <c r="B51" i="5"/>
  <c r="L49" i="5"/>
  <c r="D49" i="5"/>
  <c r="G48" i="5"/>
  <c r="F46" i="5"/>
  <c r="H44" i="5"/>
  <c r="K43" i="5"/>
  <c r="C43" i="5"/>
  <c r="F42" i="5"/>
  <c r="K19" i="5"/>
  <c r="C19" i="5"/>
  <c r="F18" i="5"/>
  <c r="I17" i="5"/>
  <c r="L16" i="5"/>
  <c r="L13" i="5"/>
  <c r="D13" i="5"/>
  <c r="J57" i="2"/>
  <c r="B57" i="2"/>
  <c r="K51" i="2"/>
  <c r="G51" i="2"/>
  <c r="F49" i="2"/>
  <c r="I48" i="2"/>
  <c r="K46" i="2"/>
  <c r="G46" i="2"/>
  <c r="B46" i="2"/>
  <c r="I44" i="2"/>
  <c r="D43" i="2"/>
  <c r="G42" i="2"/>
  <c r="K19" i="2"/>
  <c r="G19" i="2"/>
  <c r="B13" i="2"/>
  <c r="J51" i="3"/>
  <c r="E13" i="3"/>
  <c r="L17" i="4"/>
  <c r="D17" i="4"/>
  <c r="I57" i="5"/>
  <c r="L19" i="4"/>
  <c r="D19" i="4"/>
  <c r="A49" i="5"/>
  <c r="A17" i="5"/>
  <c r="G51" i="5"/>
  <c r="I49" i="5"/>
  <c r="J43" i="5"/>
  <c r="B43" i="5"/>
  <c r="J19" i="5"/>
  <c r="B19" i="5"/>
  <c r="H17" i="5"/>
  <c r="I13" i="5"/>
  <c r="I57" i="2"/>
  <c r="A57" i="2"/>
  <c r="D51" i="2"/>
  <c r="E49" i="2"/>
  <c r="K43" i="2"/>
  <c r="C43" i="2"/>
  <c r="I17" i="3"/>
  <c r="I52" i="3"/>
  <c r="B52" i="2"/>
  <c r="F52" i="2"/>
  <c r="E52" i="5"/>
  <c r="I52" i="5"/>
  <c r="J52" i="3"/>
  <c r="C52" i="2"/>
  <c r="G52" i="2"/>
  <c r="K52" i="2"/>
  <c r="B52" i="5"/>
  <c r="F52" i="5"/>
  <c r="J52" i="5"/>
  <c r="B48" i="2"/>
  <c r="F48" i="2"/>
  <c r="J48" i="2"/>
  <c r="E48" i="5"/>
  <c r="I48" i="5"/>
  <c r="C48" i="2"/>
  <c r="G48" i="2"/>
  <c r="K48" i="2"/>
  <c r="B48" i="5"/>
  <c r="F48" i="5"/>
  <c r="J48" i="5"/>
  <c r="B44" i="2"/>
  <c r="F44" i="2"/>
  <c r="J44" i="2"/>
  <c r="E44" i="5"/>
  <c r="I44" i="5"/>
  <c r="C44" i="2"/>
  <c r="G44" i="2"/>
  <c r="K44" i="2"/>
  <c r="B44" i="5"/>
  <c r="F44" i="5"/>
  <c r="J44" i="5"/>
  <c r="A44" i="5"/>
  <c r="E20" i="3"/>
  <c r="I20" i="3"/>
  <c r="E20" i="5"/>
  <c r="I20" i="5"/>
  <c r="F20" i="3"/>
  <c r="A20" i="3"/>
  <c r="G20" i="2"/>
  <c r="K20" i="2"/>
  <c r="B20" i="5"/>
  <c r="F20" i="5"/>
  <c r="J20" i="5"/>
  <c r="A20" i="5"/>
  <c r="E16" i="3"/>
  <c r="I16" i="3"/>
  <c r="E16" i="5"/>
  <c r="I16" i="5"/>
  <c r="F16" i="3"/>
  <c r="A16" i="3"/>
  <c r="G16" i="2"/>
  <c r="K16" i="2"/>
  <c r="B16" i="5"/>
  <c r="F16" i="5"/>
  <c r="J16" i="5"/>
  <c r="A16" i="5"/>
  <c r="C20" i="4"/>
  <c r="C19" i="4"/>
  <c r="C18" i="4"/>
  <c r="C17" i="4"/>
  <c r="C16" i="4"/>
  <c r="A57" i="5"/>
  <c r="A48" i="5"/>
  <c r="A42" i="5"/>
  <c r="H57" i="5"/>
  <c r="K52" i="5"/>
  <c r="C52" i="5"/>
  <c r="F51" i="5"/>
  <c r="H49" i="5"/>
  <c r="K48" i="5"/>
  <c r="C48" i="5"/>
  <c r="J46" i="5"/>
  <c r="B46" i="5"/>
  <c r="L44" i="5"/>
  <c r="D44" i="5"/>
  <c r="G43" i="5"/>
  <c r="J42" i="5"/>
  <c r="B42" i="5"/>
  <c r="L20" i="5"/>
  <c r="D20" i="5"/>
  <c r="G19" i="5"/>
  <c r="J18" i="5"/>
  <c r="B18" i="5"/>
  <c r="E17" i="5"/>
  <c r="H16" i="5"/>
  <c r="H13" i="5"/>
  <c r="F57" i="2"/>
  <c r="D52" i="2"/>
  <c r="C51" i="2"/>
  <c r="J49" i="2"/>
  <c r="B49" i="2"/>
  <c r="E48" i="2"/>
  <c r="E44" i="2"/>
  <c r="H43" i="2"/>
  <c r="K42" i="2"/>
  <c r="C42" i="2"/>
  <c r="L48" i="2"/>
  <c r="L43" i="2"/>
  <c r="A18" i="3"/>
  <c r="A13" i="3"/>
  <c r="H20" i="3"/>
  <c r="F18" i="3"/>
  <c r="H16" i="3"/>
  <c r="I13" i="3"/>
  <c r="H58" i="4"/>
  <c r="L62" i="1" s="1"/>
  <c r="L69" i="1" s="1"/>
  <c r="A58" i="4"/>
  <c r="E62" i="1" s="1"/>
  <c r="E69" i="1" s="1"/>
  <c r="D58" i="3"/>
  <c r="H61" i="1" s="1"/>
  <c r="H68" i="1" s="1"/>
  <c r="K58" i="4"/>
  <c r="O62" i="1" s="1"/>
  <c r="O69" i="1" s="1"/>
  <c r="G58" i="4"/>
  <c r="K62" i="1" s="1"/>
  <c r="K69" i="1" s="1"/>
  <c r="K58" i="3"/>
  <c r="O61" i="1" s="1"/>
  <c r="O68" i="1" s="1"/>
  <c r="G58" i="3"/>
  <c r="K61" i="1" s="1"/>
  <c r="K68" i="1" s="1"/>
  <c r="B58" i="3"/>
  <c r="F61" i="1" s="1"/>
  <c r="F68" i="1" s="1"/>
  <c r="I58" i="4"/>
  <c r="M62" i="1" s="1"/>
  <c r="M69" i="1" s="1"/>
  <c r="E58" i="4" l="1"/>
  <c r="I62" i="1" s="1"/>
  <c r="I69" i="1" s="1"/>
  <c r="F58" i="3"/>
  <c r="J61" i="1" s="1"/>
  <c r="J68" i="1" s="1"/>
  <c r="L58" i="3"/>
  <c r="P61" i="1" s="1"/>
  <c r="P68" i="1" s="1"/>
  <c r="H58" i="2"/>
  <c r="L60" i="1" s="1"/>
  <c r="K58" i="5"/>
  <c r="O59" i="1" s="1"/>
  <c r="C58" i="2"/>
  <c r="G60" i="1" s="1"/>
  <c r="E58" i="3"/>
  <c r="I61" i="1" s="1"/>
  <c r="I68" i="1" s="1"/>
  <c r="H58" i="3"/>
  <c r="L61" i="1" s="1"/>
  <c r="L68" i="1" s="1"/>
  <c r="H58" i="5"/>
  <c r="L59" i="1" s="1"/>
  <c r="J58" i="5"/>
  <c r="N59" i="1" s="1"/>
  <c r="N66" i="1" s="1"/>
  <c r="A58" i="3"/>
  <c r="E61" i="1" s="1"/>
  <c r="E68" i="1" s="1"/>
  <c r="I58" i="3"/>
  <c r="M61" i="1" s="1"/>
  <c r="M68" i="1" s="1"/>
  <c r="F58" i="2"/>
  <c r="J60" i="1" s="1"/>
  <c r="E58" i="2"/>
  <c r="I60" i="1" s="1"/>
  <c r="G58" i="2"/>
  <c r="K60" i="1" s="1"/>
  <c r="D58" i="5"/>
  <c r="H59" i="1" s="1"/>
  <c r="H66" i="1" s="1"/>
  <c r="A58" i="2"/>
  <c r="E60" i="1" s="1"/>
  <c r="E67" i="1" s="1"/>
  <c r="E58" i="5"/>
  <c r="I59" i="1" s="1"/>
  <c r="I66" i="1" s="1"/>
  <c r="J58" i="4"/>
  <c r="N62" i="1" s="1"/>
  <c r="C58" i="5"/>
  <c r="G59" i="1" s="1"/>
  <c r="G66" i="1" s="1"/>
  <c r="F58" i="5"/>
  <c r="J59" i="1" s="1"/>
  <c r="L58" i="4"/>
  <c r="P62" i="1" s="1"/>
  <c r="P69" i="1" s="1"/>
  <c r="B58" i="4"/>
  <c r="F62" i="1" s="1"/>
  <c r="F69" i="1" s="1"/>
  <c r="J58" i="2"/>
  <c r="N60" i="1" s="1"/>
  <c r="I58" i="5"/>
  <c r="M59" i="1" s="1"/>
  <c r="G58" i="5"/>
  <c r="K59" i="1" s="1"/>
  <c r="C58" i="4"/>
  <c r="G62" i="1" s="1"/>
  <c r="G69" i="1" s="1"/>
  <c r="D58" i="4"/>
  <c r="H62" i="1" s="1"/>
  <c r="H69" i="1" s="1"/>
  <c r="B58" i="2"/>
  <c r="F60" i="1" s="1"/>
  <c r="L58" i="5"/>
  <c r="P59" i="1" s="1"/>
  <c r="P66" i="1" s="1"/>
  <c r="L58" i="2"/>
  <c r="P60" i="1" s="1"/>
  <c r="I58" i="2"/>
  <c r="M60" i="1" s="1"/>
  <c r="D58" i="2"/>
  <c r="H60" i="1" s="1"/>
  <c r="K58" i="2"/>
  <c r="O60" i="1" s="1"/>
  <c r="A58" i="5"/>
  <c r="J58" i="3"/>
  <c r="N61" i="1" s="1"/>
  <c r="N68" i="1" s="1"/>
  <c r="B58" i="5"/>
  <c r="F59" i="1" s="1"/>
  <c r="F66" i="1" s="1"/>
  <c r="K67" i="1" l="1"/>
  <c r="K63" i="1"/>
  <c r="I67" i="1"/>
  <c r="I63" i="1"/>
  <c r="G67" i="1"/>
  <c r="G63" i="1"/>
  <c r="N67" i="1"/>
  <c r="N63" i="1"/>
  <c r="F67" i="1"/>
  <c r="F63" i="1"/>
  <c r="J67" i="1"/>
  <c r="J63" i="1"/>
  <c r="M67" i="1"/>
  <c r="M63" i="1"/>
  <c r="O67" i="1"/>
  <c r="O63" i="1"/>
  <c r="P67" i="1"/>
  <c r="P63" i="1"/>
  <c r="H67" i="1"/>
  <c r="H63" i="1"/>
  <c r="L67" i="1"/>
  <c r="L63" i="1"/>
  <c r="O64" i="1"/>
  <c r="O66" i="1"/>
  <c r="M65" i="1"/>
  <c r="M66" i="1"/>
  <c r="J65" i="1"/>
  <c r="J66" i="1"/>
  <c r="L65" i="1"/>
  <c r="L66" i="1"/>
  <c r="N65" i="1"/>
  <c r="N69" i="1"/>
  <c r="K65" i="1"/>
  <c r="K66" i="1"/>
  <c r="E59" i="1"/>
  <c r="E66" i="1" s="1"/>
  <c r="A59" i="5"/>
  <c r="P65" i="1"/>
  <c r="O65" i="1"/>
  <c r="N64" i="1"/>
  <c r="J64" i="1"/>
  <c r="I64" i="1"/>
  <c r="I65" i="1"/>
  <c r="H65" i="1"/>
  <c r="F65" i="1"/>
  <c r="G65" i="1"/>
  <c r="M64" i="1"/>
  <c r="L64" i="1"/>
  <c r="P64" i="1"/>
  <c r="K64" i="1"/>
  <c r="G64" i="1"/>
  <c r="H64" i="1"/>
  <c r="F64" i="1"/>
  <c r="E63" i="1" l="1"/>
  <c r="E64" i="1"/>
  <c r="E65" i="1"/>
</calcChain>
</file>

<file path=xl/sharedStrings.xml><?xml version="1.0" encoding="utf-8"?>
<sst xmlns="http://schemas.openxmlformats.org/spreadsheetml/2006/main" count="519" uniqueCount="86">
  <si>
    <t>Музалевская Вера Геннадьевна</t>
  </si>
  <si>
    <t>Музалевский Юрий Сергеевич</t>
  </si>
  <si>
    <t>Гейко Антонина Ивановна</t>
  </si>
  <si>
    <t>Морозова Екатерина Сергеевна</t>
  </si>
  <si>
    <t>Николаева Екатерина Сергеевна</t>
  </si>
  <si>
    <t>Великих Павел Владимирович</t>
  </si>
  <si>
    <t>Мамаенко Даниил Евгеньевич</t>
  </si>
  <si>
    <t>Бугров Дмитрий Геннадьевич</t>
  </si>
  <si>
    <t>Бугрова Татьяна Федоровна</t>
  </si>
  <si>
    <t>Годунов Виктор Александрович</t>
  </si>
  <si>
    <t>Годунова Арина Андреевна</t>
  </si>
  <si>
    <t>Шиляев Антон Николаевич</t>
  </si>
  <si>
    <t>Колесникова Татьяна Леонидовна</t>
  </si>
  <si>
    <t>Комаров Сергей Валерьевич</t>
  </si>
  <si>
    <t>Комарова Виктория Викторовна</t>
  </si>
  <si>
    <t>Кирова Елена Александровна</t>
  </si>
  <si>
    <t>Демян Матвей Иванович</t>
  </si>
  <si>
    <t>Авдеева Ксения Александровна</t>
  </si>
  <si>
    <t>Демян Виктория Ивановна</t>
  </si>
  <si>
    <t>Кизилова Марина Владмировна</t>
  </si>
  <si>
    <t>Ипатов Андрей Викторович</t>
  </si>
  <si>
    <t>Андержанова Лилия Рустамовна</t>
  </si>
  <si>
    <t>Самохина Елена Анатольевна</t>
  </si>
  <si>
    <t>Козырь Александр Александрович</t>
  </si>
  <si>
    <t>Капустина Марина Вламировна</t>
  </si>
  <si>
    <t>Алимов Анатолий Анатольевич</t>
  </si>
  <si>
    <t>Алимова Людмила Ивановна</t>
  </si>
  <si>
    <t>Мельник Дмитрий Дмитриевич</t>
  </si>
  <si>
    <t>Мельник Виктория Александровна</t>
  </si>
  <si>
    <t>Марченко Ольга Васильевна</t>
  </si>
  <si>
    <t>Батова Валентина Владимировна</t>
  </si>
  <si>
    <t>Бададгулов Георгий Александрович</t>
  </si>
  <si>
    <t>Гарин Иван Николаевич</t>
  </si>
  <si>
    <t>Искандарян Нара</t>
  </si>
  <si>
    <t>Шляк Евгений Вадимович</t>
  </si>
  <si>
    <t>Шляк Екатерина Александровна</t>
  </si>
  <si>
    <t>Макарова Марина Валерьевна</t>
  </si>
  <si>
    <t>Макаров Дмитрий Анатольевич</t>
  </si>
  <si>
    <t>Макаров Матвей Дмитриевич</t>
  </si>
  <si>
    <t>Харламова Анна Юрьевна</t>
  </si>
  <si>
    <t>Маргорин Кирилл Олегович</t>
  </si>
  <si>
    <t>Толкачев Эдуард Викторович</t>
  </si>
  <si>
    <t>Смирнова Галина Васильевна</t>
  </si>
  <si>
    <t>Шульгина Елена Викторовна</t>
  </si>
  <si>
    <t>Антонов Михаил Андреевич</t>
  </si>
  <si>
    <t>Захаревская Светлана Григорьевна</t>
  </si>
  <si>
    <t>Малахова Евгения Ивановна</t>
  </si>
  <si>
    <t>Малахов Алексей Станиславович</t>
  </si>
  <si>
    <t>Ильин Станислав Витальевич</t>
  </si>
  <si>
    <t>Ким Надежда Юрьевна</t>
  </si>
  <si>
    <t>Головин Дмитрий Сергеевич</t>
  </si>
  <si>
    <t>Шувалов Иван Юрьевич</t>
  </si>
  <si>
    <t>Беляева Анна Борисовна</t>
  </si>
  <si>
    <t>ФИО</t>
  </si>
  <si>
    <t>КВ</t>
  </si>
  <si>
    <t>кол-во голосов</t>
  </si>
  <si>
    <t>вопрос 1</t>
  </si>
  <si>
    <t>вопрос 2</t>
  </si>
  <si>
    <t>вопрос 3</t>
  </si>
  <si>
    <t>вопрос 4</t>
  </si>
  <si>
    <t>вопрос 5</t>
  </si>
  <si>
    <t>вопрос 6</t>
  </si>
  <si>
    <t>вопрос 7</t>
  </si>
  <si>
    <t>вопрос 8</t>
  </si>
  <si>
    <t>вопрос 9</t>
  </si>
  <si>
    <t>вопрос 10</t>
  </si>
  <si>
    <t>вопрос 11</t>
  </si>
  <si>
    <t>вопрос 12</t>
  </si>
  <si>
    <t>против</t>
  </si>
  <si>
    <t>за</t>
  </si>
  <si>
    <t>воздержался</t>
  </si>
  <si>
    <t>За</t>
  </si>
  <si>
    <t>Против</t>
  </si>
  <si>
    <t>Воздержался</t>
  </si>
  <si>
    <t>Количество голосов</t>
  </si>
  <si>
    <t>За(принявших участие)</t>
  </si>
  <si>
    <t>Против(принявших участие)</t>
  </si>
  <si>
    <t>Воздержался(принявших участие)</t>
  </si>
  <si>
    <t>Демян Владислав Иванович</t>
  </si>
  <si>
    <t>Исмаилов Артур Бахтиярович</t>
  </si>
  <si>
    <t>зза</t>
  </si>
  <si>
    <t>Столбец1</t>
  </si>
  <si>
    <t>Количество голосов (кв.м)</t>
  </si>
  <si>
    <t>За (кв.м)</t>
  </si>
  <si>
    <t>Против (кв.м)</t>
  </si>
  <si>
    <t>Воздержался (кв.м)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</si>
</sst>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Protection="1">
      <protection locked="0"/>
    </xf>
    <xf numFmtId="2" fontId="0" fillId="0" borderId="1" xfId="0" applyNumberFormat="1" applyBorder="1" applyProtection="1">
      <protection locked="0"/>
    </xf>
    <xf numFmtId="0" fontId="0" fillId="0" borderId="1" xfId="0" applyBorder="1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2" fontId="0" fillId="0" borderId="2" xfId="0" applyNumberFormat="1" applyBorder="1"/>
    <xf numFmtId="0" fontId="0" fillId="0" borderId="2" xfId="0" applyBorder="1"/>
    <xf numFmtId="0" fontId="2" fillId="0" borderId="2" xfId="0" applyFont="1" applyBorder="1" applyAlignment="1">
      <alignment vertical="center" wrapText="1"/>
    </xf>
    <xf numFmtId="0" fontId="0" fillId="0" borderId="2" xfId="0" applyFill="1" applyBorder="1"/>
    <xf numFmtId="0" fontId="1" fillId="0" borderId="2" xfId="0" applyFont="1" applyFill="1" applyBorder="1" applyAlignment="1">
      <alignment vertical="center" wrapText="1"/>
    </xf>
    <xf numFmtId="10" fontId="0" fillId="0" borderId="2" xfId="0" applyNumberFormat="1" applyBorder="1"/>
  </cellXfs>
  <cellStyles count="1">
    <cellStyle name="Normal" xfId="0" builtinId="0"/>
  </cellStyles>
  <dxfs count="1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P58" headerRowDxfId="113" totalsRowDxfId="112">
  <autoFilter ref="A1:P58"/>
  <tableColumns count="16">
    <tableColumn id="1" name="ФИО" totalsRowLabel="Итог" dataDxfId="111" totalsRowDxfId="110"/>
    <tableColumn id="2" name="КВ" dataDxfId="109" totalsRowDxfId="108"/>
    <tableColumn id="3" name="Столбец1" dataDxfId="107"/>
    <tableColumn id="4" name="кол-во голосов" dataDxfId="106">
      <calculatedColumnFormula>C3/100</calculatedColumnFormula>
    </tableColumn>
    <tableColumn id="5" name="вопрос 1" dataDxfId="105"/>
    <tableColumn id="6" name="вопрос 2" dataDxfId="104"/>
    <tableColumn id="7" name="вопрос 3" dataDxfId="103"/>
    <tableColumn id="8" name="вопрос 4" dataDxfId="102"/>
    <tableColumn id="9" name="вопрос 5" dataDxfId="101"/>
    <tableColumn id="10" name="вопрос 6" dataDxfId="100"/>
    <tableColumn id="11" name="вопрос 7" dataDxfId="99"/>
    <tableColumn id="12" name="вопрос 8" dataDxfId="98"/>
    <tableColumn id="13" name="вопрос 9" dataDxfId="97"/>
    <tableColumn id="14" name="вопрос 10" dataDxfId="96"/>
    <tableColumn id="15" name="вопрос 11" dataDxfId="95"/>
    <tableColumn id="16" name="вопрос 12" totalsRowFunction="count" dataDxfId="94"/>
  </tableColumns>
  <tableStyleInfo name="TableStyleMedium18" showFirstColumn="1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tabSelected="1" topLeftCell="A46" zoomScale="85" zoomScaleNormal="85" zoomScalePageLayoutView="25" workbookViewId="0">
      <selection activeCell="N65" sqref="N65"/>
    </sheetView>
  </sheetViews>
  <sheetFormatPr defaultRowHeight="15" x14ac:dyDescent="0.25"/>
  <cols>
    <col min="1" max="1" width="25.140625" style="7" customWidth="1"/>
    <col min="2" max="2" width="5.5703125" style="7" bestFit="1" customWidth="1"/>
    <col min="3" max="3" width="7" style="6" hidden="1" customWidth="1"/>
    <col min="4" max="4" width="17.140625" style="7" bestFit="1" customWidth="1"/>
    <col min="5" max="5" width="11.140625" style="7" bestFit="1" customWidth="1"/>
    <col min="6" max="8" width="12.85546875" style="7" bestFit="1" customWidth="1"/>
    <col min="9" max="13" width="11.140625" style="7" bestFit="1" customWidth="1"/>
    <col min="14" max="14" width="12.85546875" style="7" customWidth="1"/>
    <col min="15" max="15" width="12.140625" style="7" bestFit="1" customWidth="1"/>
    <col min="16" max="16" width="12.85546875" style="7" customWidth="1"/>
    <col min="17" max="16384" width="9.140625" style="7"/>
  </cols>
  <sheetData>
    <row r="1" spans="1:16" s="3" customFormat="1" x14ac:dyDescent="0.25">
      <c r="A1" s="1" t="s">
        <v>53</v>
      </c>
      <c r="B1" s="1" t="s">
        <v>54</v>
      </c>
      <c r="C1" s="2" t="s">
        <v>81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 ht="31.5" x14ac:dyDescent="0.25">
      <c r="A2" s="4" t="s">
        <v>0</v>
      </c>
      <c r="B2" s="5">
        <v>1</v>
      </c>
      <c r="C2" s="6">
        <v>163</v>
      </c>
      <c r="D2" s="7">
        <f>C2/100</f>
        <v>1.63</v>
      </c>
      <c r="E2" s="7" t="s">
        <v>69</v>
      </c>
      <c r="F2" s="7" t="s">
        <v>69</v>
      </c>
      <c r="G2" s="7" t="s">
        <v>69</v>
      </c>
      <c r="H2" s="7" t="s">
        <v>69</v>
      </c>
      <c r="I2" s="7" t="s">
        <v>70</v>
      </c>
      <c r="J2" s="7" t="s">
        <v>69</v>
      </c>
      <c r="K2" s="7" t="s">
        <v>69</v>
      </c>
      <c r="L2" s="7" t="s">
        <v>68</v>
      </c>
      <c r="M2" s="7" t="s">
        <v>68</v>
      </c>
      <c r="N2" s="7" t="s">
        <v>70</v>
      </c>
      <c r="O2" s="7" t="s">
        <v>69</v>
      </c>
      <c r="P2" s="7" t="s">
        <v>68</v>
      </c>
    </row>
    <row r="3" spans="1:16" ht="31.5" x14ac:dyDescent="0.25">
      <c r="A3" s="4" t="s">
        <v>1</v>
      </c>
      <c r="B3" s="5">
        <v>1</v>
      </c>
      <c r="C3" s="6">
        <v>163</v>
      </c>
      <c r="D3" s="7">
        <f t="shared" ref="D3:D58" si="0">C3/100</f>
        <v>1.63</v>
      </c>
      <c r="E3" s="7" t="s">
        <v>69</v>
      </c>
      <c r="F3" s="7" t="s">
        <v>69</v>
      </c>
      <c r="G3" s="7" t="s">
        <v>69</v>
      </c>
      <c r="H3" s="7" t="s">
        <v>69</v>
      </c>
      <c r="I3" s="7" t="s">
        <v>70</v>
      </c>
      <c r="J3" s="7" t="s">
        <v>69</v>
      </c>
      <c r="K3" s="7" t="s">
        <v>69</v>
      </c>
      <c r="L3" s="7" t="s">
        <v>68</v>
      </c>
      <c r="M3" s="7" t="s">
        <v>68</v>
      </c>
      <c r="N3" s="7" t="s">
        <v>70</v>
      </c>
      <c r="O3" s="7" t="s">
        <v>69</v>
      </c>
      <c r="P3" s="7" t="s">
        <v>68</v>
      </c>
    </row>
    <row r="4" spans="1:16" ht="31.5" x14ac:dyDescent="0.25">
      <c r="A4" s="4" t="s">
        <v>2</v>
      </c>
      <c r="B4" s="5">
        <v>2</v>
      </c>
      <c r="C4" s="6">
        <v>200</v>
      </c>
      <c r="D4" s="7">
        <f t="shared" si="0"/>
        <v>2</v>
      </c>
      <c r="E4" s="7" t="s">
        <v>69</v>
      </c>
      <c r="F4" s="7" t="s">
        <v>69</v>
      </c>
      <c r="G4" s="7" t="s">
        <v>69</v>
      </c>
      <c r="H4" s="7" t="s">
        <v>69</v>
      </c>
      <c r="I4" s="7" t="s">
        <v>69</v>
      </c>
      <c r="J4" s="7" t="s">
        <v>69</v>
      </c>
      <c r="K4" s="7" t="s">
        <v>69</v>
      </c>
      <c r="L4" s="7" t="s">
        <v>68</v>
      </c>
      <c r="M4" s="7" t="s">
        <v>68</v>
      </c>
      <c r="N4" s="7" t="s">
        <v>68</v>
      </c>
      <c r="O4" s="7" t="s">
        <v>69</v>
      </c>
      <c r="P4" s="7" t="s">
        <v>69</v>
      </c>
    </row>
    <row r="5" spans="1:16" ht="31.5" x14ac:dyDescent="0.25">
      <c r="A5" s="4" t="s">
        <v>3</v>
      </c>
      <c r="B5" s="5">
        <v>3</v>
      </c>
      <c r="C5" s="6">
        <v>204</v>
      </c>
      <c r="D5" s="7">
        <f t="shared" si="0"/>
        <v>2.04</v>
      </c>
      <c r="E5" s="7" t="s">
        <v>69</v>
      </c>
      <c r="F5" s="7" t="s">
        <v>69</v>
      </c>
      <c r="G5" s="7" t="s">
        <v>69</v>
      </c>
      <c r="H5" s="7" t="s">
        <v>69</v>
      </c>
      <c r="I5" s="7" t="s">
        <v>69</v>
      </c>
      <c r="J5" s="7" t="s">
        <v>69</v>
      </c>
      <c r="K5" s="7" t="s">
        <v>69</v>
      </c>
      <c r="L5" s="7" t="s">
        <v>68</v>
      </c>
      <c r="M5" s="7" t="s">
        <v>68</v>
      </c>
      <c r="N5" s="7" t="s">
        <v>70</v>
      </c>
      <c r="O5" s="7" t="s">
        <v>69</v>
      </c>
      <c r="P5" s="7" t="s">
        <v>69</v>
      </c>
    </row>
    <row r="6" spans="1:16" ht="31.5" x14ac:dyDescent="0.25">
      <c r="A6" s="4" t="s">
        <v>4</v>
      </c>
      <c r="B6" s="5">
        <v>4</v>
      </c>
      <c r="C6" s="6">
        <v>151</v>
      </c>
      <c r="D6" s="7">
        <f t="shared" si="0"/>
        <v>1.51</v>
      </c>
      <c r="E6" s="7" t="s">
        <v>69</v>
      </c>
      <c r="F6" s="7" t="s">
        <v>69</v>
      </c>
      <c r="G6" s="7" t="s">
        <v>70</v>
      </c>
      <c r="H6" s="7" t="s">
        <v>70</v>
      </c>
      <c r="I6" s="7" t="s">
        <v>70</v>
      </c>
      <c r="J6" s="7" t="s">
        <v>70</v>
      </c>
      <c r="K6" s="7" t="s">
        <v>69</v>
      </c>
      <c r="L6" s="7" t="s">
        <v>68</v>
      </c>
      <c r="M6" s="7" t="s">
        <v>70</v>
      </c>
      <c r="N6" s="7" t="s">
        <v>70</v>
      </c>
      <c r="O6" s="7" t="s">
        <v>69</v>
      </c>
      <c r="P6" s="7" t="s">
        <v>69</v>
      </c>
    </row>
    <row r="7" spans="1:16" ht="31.5" x14ac:dyDescent="0.25">
      <c r="A7" s="4" t="s">
        <v>5</v>
      </c>
      <c r="B7" s="5">
        <v>4</v>
      </c>
      <c r="C7" s="6">
        <v>151</v>
      </c>
      <c r="D7" s="7">
        <f t="shared" si="0"/>
        <v>1.51</v>
      </c>
      <c r="E7" s="7" t="s">
        <v>69</v>
      </c>
      <c r="F7" s="7" t="s">
        <v>69</v>
      </c>
      <c r="G7" s="7" t="s">
        <v>70</v>
      </c>
      <c r="H7" s="7" t="s">
        <v>70</v>
      </c>
      <c r="I7" s="7" t="s">
        <v>70</v>
      </c>
      <c r="J7" s="7" t="s">
        <v>70</v>
      </c>
      <c r="K7" s="7" t="s">
        <v>69</v>
      </c>
      <c r="L7" s="7" t="s">
        <v>68</v>
      </c>
      <c r="M7" s="7" t="s">
        <v>70</v>
      </c>
      <c r="N7" s="7" t="s">
        <v>70</v>
      </c>
      <c r="O7" s="7" t="s">
        <v>69</v>
      </c>
      <c r="P7" s="7" t="s">
        <v>69</v>
      </c>
    </row>
    <row r="8" spans="1:16" ht="31.5" x14ac:dyDescent="0.25">
      <c r="A8" s="4" t="s">
        <v>6</v>
      </c>
      <c r="B8" s="5">
        <v>5</v>
      </c>
      <c r="C8" s="6">
        <v>215</v>
      </c>
      <c r="D8" s="7">
        <f t="shared" si="0"/>
        <v>2.15</v>
      </c>
      <c r="E8" s="7" t="s">
        <v>69</v>
      </c>
      <c r="F8" s="7" t="s">
        <v>69</v>
      </c>
      <c r="G8" s="7" t="s">
        <v>69</v>
      </c>
      <c r="H8" s="7" t="s">
        <v>69</v>
      </c>
      <c r="I8" s="7" t="s">
        <v>69</v>
      </c>
      <c r="J8" s="7" t="s">
        <v>69</v>
      </c>
      <c r="K8" s="7" t="s">
        <v>70</v>
      </c>
      <c r="L8" s="7" t="s">
        <v>70</v>
      </c>
      <c r="M8" s="7" t="s">
        <v>70</v>
      </c>
      <c r="N8" s="7" t="s">
        <v>69</v>
      </c>
      <c r="O8" s="7" t="s">
        <v>69</v>
      </c>
      <c r="P8" s="7" t="s">
        <v>69</v>
      </c>
    </row>
    <row r="9" spans="1:16" ht="31.5" x14ac:dyDescent="0.25">
      <c r="A9" s="4" t="s">
        <v>7</v>
      </c>
      <c r="B9" s="5">
        <v>6</v>
      </c>
      <c r="C9" s="6">
        <v>136</v>
      </c>
      <c r="D9" s="7">
        <f t="shared" si="0"/>
        <v>1.36</v>
      </c>
      <c r="E9" s="7" t="s">
        <v>69</v>
      </c>
      <c r="F9" s="7" t="s">
        <v>69</v>
      </c>
      <c r="G9" s="7" t="s">
        <v>69</v>
      </c>
      <c r="H9" s="7" t="s">
        <v>69</v>
      </c>
      <c r="I9" s="7" t="s">
        <v>69</v>
      </c>
      <c r="J9" s="7" t="s">
        <v>69</v>
      </c>
      <c r="K9" s="7" t="s">
        <v>69</v>
      </c>
      <c r="L9" s="7" t="s">
        <v>68</v>
      </c>
      <c r="M9" s="7" t="s">
        <v>68</v>
      </c>
      <c r="N9" s="7" t="s">
        <v>68</v>
      </c>
      <c r="O9" s="7" t="s">
        <v>69</v>
      </c>
      <c r="P9" s="7" t="s">
        <v>69</v>
      </c>
    </row>
    <row r="10" spans="1:16" ht="31.5" x14ac:dyDescent="0.25">
      <c r="A10" s="4" t="s">
        <v>8</v>
      </c>
      <c r="B10" s="5">
        <v>6</v>
      </c>
      <c r="C10" s="6">
        <v>136</v>
      </c>
      <c r="D10" s="7">
        <f t="shared" si="0"/>
        <v>1.36</v>
      </c>
      <c r="E10" s="7" t="s">
        <v>69</v>
      </c>
      <c r="F10" s="7" t="s">
        <v>69</v>
      </c>
      <c r="G10" s="7" t="s">
        <v>69</v>
      </c>
      <c r="H10" s="7" t="s">
        <v>69</v>
      </c>
      <c r="I10" s="7" t="s">
        <v>69</v>
      </c>
      <c r="J10" s="7" t="s">
        <v>69</v>
      </c>
      <c r="K10" s="7" t="s">
        <v>69</v>
      </c>
      <c r="L10" s="7" t="s">
        <v>68</v>
      </c>
      <c r="M10" s="7" t="s">
        <v>68</v>
      </c>
      <c r="N10" s="7" t="s">
        <v>68</v>
      </c>
      <c r="O10" s="7" t="s">
        <v>69</v>
      </c>
      <c r="P10" s="7" t="s">
        <v>69</v>
      </c>
    </row>
    <row r="11" spans="1:16" ht="31.5" x14ac:dyDescent="0.25">
      <c r="A11" s="4" t="s">
        <v>9</v>
      </c>
      <c r="B11" s="5">
        <v>7</v>
      </c>
      <c r="C11" s="6">
        <v>160</v>
      </c>
      <c r="D11" s="7">
        <f t="shared" si="0"/>
        <v>1.6</v>
      </c>
      <c r="E11" s="7" t="s">
        <v>69</v>
      </c>
      <c r="F11" s="7" t="s">
        <v>70</v>
      </c>
      <c r="G11" s="7" t="s">
        <v>69</v>
      </c>
      <c r="H11" s="7" t="s">
        <v>69</v>
      </c>
      <c r="I11" s="7" t="s">
        <v>69</v>
      </c>
      <c r="J11" s="7" t="s">
        <v>69</v>
      </c>
      <c r="K11" s="7" t="s">
        <v>69</v>
      </c>
      <c r="L11" s="7" t="s">
        <v>68</v>
      </c>
      <c r="M11" s="7" t="s">
        <v>68</v>
      </c>
      <c r="N11" s="7" t="s">
        <v>68</v>
      </c>
      <c r="O11" s="7" t="s">
        <v>69</v>
      </c>
      <c r="P11" s="7" t="s">
        <v>69</v>
      </c>
    </row>
    <row r="12" spans="1:16" ht="31.5" x14ac:dyDescent="0.25">
      <c r="A12" s="4" t="s">
        <v>10</v>
      </c>
      <c r="B12" s="5">
        <v>7</v>
      </c>
      <c r="C12" s="6">
        <v>160</v>
      </c>
      <c r="D12" s="7">
        <f t="shared" si="0"/>
        <v>1.6</v>
      </c>
      <c r="E12" s="7" t="s">
        <v>69</v>
      </c>
      <c r="F12" s="7" t="s">
        <v>70</v>
      </c>
      <c r="G12" s="7" t="s">
        <v>69</v>
      </c>
      <c r="H12" s="7" t="s">
        <v>69</v>
      </c>
      <c r="I12" s="7" t="s">
        <v>69</v>
      </c>
      <c r="J12" s="7" t="s">
        <v>69</v>
      </c>
      <c r="K12" s="7" t="s">
        <v>69</v>
      </c>
      <c r="L12" s="7" t="s">
        <v>68</v>
      </c>
      <c r="M12" s="7" t="s">
        <v>68</v>
      </c>
      <c r="N12" s="7" t="s">
        <v>68</v>
      </c>
      <c r="O12" s="7" t="s">
        <v>69</v>
      </c>
      <c r="P12" s="7" t="s">
        <v>69</v>
      </c>
    </row>
    <row r="13" spans="1:16" ht="31.5" x14ac:dyDescent="0.25">
      <c r="A13" s="4" t="s">
        <v>11</v>
      </c>
      <c r="B13" s="5">
        <v>8</v>
      </c>
      <c r="C13" s="6">
        <v>200</v>
      </c>
      <c r="D13" s="7">
        <f t="shared" si="0"/>
        <v>2</v>
      </c>
    </row>
    <row r="14" spans="1:16" ht="31.5" x14ac:dyDescent="0.25">
      <c r="A14" s="4" t="s">
        <v>12</v>
      </c>
      <c r="B14" s="5">
        <v>9</v>
      </c>
      <c r="C14" s="6">
        <v>200</v>
      </c>
      <c r="D14" s="7">
        <f t="shared" si="0"/>
        <v>2</v>
      </c>
      <c r="E14" s="7" t="s">
        <v>68</v>
      </c>
      <c r="F14" s="7" t="s">
        <v>69</v>
      </c>
      <c r="G14" s="7" t="s">
        <v>68</v>
      </c>
      <c r="H14" s="7" t="s">
        <v>69</v>
      </c>
      <c r="I14" s="7" t="s">
        <v>68</v>
      </c>
      <c r="J14" s="7" t="s">
        <v>68</v>
      </c>
      <c r="K14" s="7" t="s">
        <v>69</v>
      </c>
      <c r="L14" s="7" t="s">
        <v>68</v>
      </c>
      <c r="M14" s="7" t="s">
        <v>68</v>
      </c>
      <c r="N14" s="7" t="s">
        <v>68</v>
      </c>
      <c r="O14" s="7" t="s">
        <v>69</v>
      </c>
      <c r="P14" s="7" t="s">
        <v>68</v>
      </c>
    </row>
    <row r="15" spans="1:16" ht="31.5" x14ac:dyDescent="0.25">
      <c r="A15" s="4" t="s">
        <v>13</v>
      </c>
      <c r="B15" s="5">
        <v>10</v>
      </c>
      <c r="C15" s="6">
        <v>151</v>
      </c>
      <c r="D15" s="7">
        <f t="shared" si="0"/>
        <v>1.51</v>
      </c>
      <c r="E15" s="7" t="s">
        <v>69</v>
      </c>
      <c r="F15" s="7" t="s">
        <v>69</v>
      </c>
      <c r="G15" s="7" t="s">
        <v>69</v>
      </c>
      <c r="H15" s="7" t="s">
        <v>69</v>
      </c>
      <c r="I15" s="7" t="s">
        <v>69</v>
      </c>
      <c r="J15" s="7" t="s">
        <v>69</v>
      </c>
      <c r="K15" s="7" t="s">
        <v>69</v>
      </c>
      <c r="L15" s="7" t="s">
        <v>69</v>
      </c>
      <c r="M15" s="7" t="s">
        <v>69</v>
      </c>
      <c r="N15" s="7" t="s">
        <v>69</v>
      </c>
      <c r="O15" s="7" t="s">
        <v>69</v>
      </c>
      <c r="P15" s="7" t="s">
        <v>69</v>
      </c>
    </row>
    <row r="16" spans="1:16" ht="31.5" x14ac:dyDescent="0.25">
      <c r="A16" s="4" t="s">
        <v>14</v>
      </c>
      <c r="B16" s="5">
        <v>10</v>
      </c>
      <c r="C16" s="6">
        <v>151</v>
      </c>
      <c r="D16" s="7">
        <f t="shared" si="0"/>
        <v>1.51</v>
      </c>
      <c r="E16" s="7" t="s">
        <v>69</v>
      </c>
      <c r="F16" s="7" t="s">
        <v>69</v>
      </c>
      <c r="G16" s="7" t="s">
        <v>69</v>
      </c>
      <c r="H16" s="7" t="s">
        <v>69</v>
      </c>
      <c r="I16" s="7" t="s">
        <v>69</v>
      </c>
      <c r="J16" s="7" t="s">
        <v>69</v>
      </c>
      <c r="K16" s="7" t="s">
        <v>69</v>
      </c>
      <c r="L16" s="7" t="s">
        <v>69</v>
      </c>
      <c r="M16" s="7" t="s">
        <v>69</v>
      </c>
      <c r="N16" s="7" t="s">
        <v>69</v>
      </c>
      <c r="O16" s="7" t="s">
        <v>69</v>
      </c>
      <c r="P16" s="7" t="s">
        <v>69</v>
      </c>
    </row>
    <row r="17" spans="1:16" ht="31.5" x14ac:dyDescent="0.25">
      <c r="A17" s="4" t="s">
        <v>15</v>
      </c>
      <c r="B17" s="5">
        <v>11</v>
      </c>
      <c r="C17" s="6">
        <v>43</v>
      </c>
      <c r="D17" s="7">
        <f t="shared" si="0"/>
        <v>0.43</v>
      </c>
      <c r="E17" s="7" t="s">
        <v>68</v>
      </c>
      <c r="F17" s="7" t="s">
        <v>70</v>
      </c>
      <c r="G17" s="7" t="s">
        <v>70</v>
      </c>
      <c r="H17" s="7" t="s">
        <v>70</v>
      </c>
      <c r="I17" s="7" t="s">
        <v>68</v>
      </c>
      <c r="J17" s="7" t="s">
        <v>68</v>
      </c>
      <c r="K17" s="7" t="s">
        <v>69</v>
      </c>
      <c r="L17" s="7" t="s">
        <v>68</v>
      </c>
      <c r="M17" s="7" t="s">
        <v>68</v>
      </c>
      <c r="N17" s="7" t="s">
        <v>70</v>
      </c>
      <c r="O17" s="7" t="s">
        <v>69</v>
      </c>
      <c r="P17" s="7" t="s">
        <v>70</v>
      </c>
    </row>
    <row r="18" spans="1:16" ht="30" x14ac:dyDescent="0.25">
      <c r="A18" s="8" t="s">
        <v>78</v>
      </c>
      <c r="B18" s="5">
        <v>11</v>
      </c>
      <c r="C18" s="6">
        <v>43</v>
      </c>
      <c r="D18" s="7">
        <f t="shared" si="0"/>
        <v>0.43</v>
      </c>
      <c r="E18" s="7" t="s">
        <v>68</v>
      </c>
      <c r="F18" s="7" t="s">
        <v>70</v>
      </c>
      <c r="G18" s="7" t="s">
        <v>70</v>
      </c>
      <c r="H18" s="7" t="s">
        <v>70</v>
      </c>
      <c r="I18" s="7" t="s">
        <v>68</v>
      </c>
      <c r="J18" s="7" t="s">
        <v>68</v>
      </c>
      <c r="K18" s="7" t="s">
        <v>69</v>
      </c>
      <c r="L18" s="7" t="s">
        <v>68</v>
      </c>
      <c r="M18" s="7" t="s">
        <v>68</v>
      </c>
      <c r="N18" s="7" t="s">
        <v>70</v>
      </c>
      <c r="O18" s="7" t="s">
        <v>69</v>
      </c>
      <c r="P18" s="7" t="s">
        <v>70</v>
      </c>
    </row>
    <row r="19" spans="1:16" ht="31.5" x14ac:dyDescent="0.25">
      <c r="A19" s="4" t="s">
        <v>16</v>
      </c>
      <c r="B19" s="5">
        <v>11</v>
      </c>
      <c r="C19" s="6">
        <v>43</v>
      </c>
      <c r="D19" s="7">
        <f t="shared" si="0"/>
        <v>0.43</v>
      </c>
      <c r="E19" s="7" t="s">
        <v>68</v>
      </c>
      <c r="F19" s="7" t="s">
        <v>70</v>
      </c>
      <c r="G19" s="7" t="s">
        <v>70</v>
      </c>
      <c r="H19" s="7" t="s">
        <v>70</v>
      </c>
      <c r="I19" s="7" t="s">
        <v>68</v>
      </c>
      <c r="J19" s="7" t="s">
        <v>68</v>
      </c>
      <c r="K19" s="7" t="s">
        <v>69</v>
      </c>
      <c r="L19" s="7" t="s">
        <v>68</v>
      </c>
      <c r="M19" s="7" t="s">
        <v>68</v>
      </c>
      <c r="N19" s="7" t="s">
        <v>70</v>
      </c>
      <c r="O19" s="7" t="s">
        <v>69</v>
      </c>
      <c r="P19" s="7" t="s">
        <v>70</v>
      </c>
    </row>
    <row r="20" spans="1:16" ht="31.5" x14ac:dyDescent="0.25">
      <c r="A20" s="4" t="s">
        <v>17</v>
      </c>
      <c r="B20" s="5">
        <v>11</v>
      </c>
      <c r="C20" s="6">
        <v>43</v>
      </c>
      <c r="D20" s="7">
        <f t="shared" si="0"/>
        <v>0.43</v>
      </c>
      <c r="E20" s="7" t="s">
        <v>68</v>
      </c>
      <c r="F20" s="7" t="s">
        <v>70</v>
      </c>
      <c r="G20" s="7" t="s">
        <v>70</v>
      </c>
      <c r="H20" s="7" t="s">
        <v>70</v>
      </c>
      <c r="I20" s="7" t="s">
        <v>68</v>
      </c>
      <c r="J20" s="7" t="s">
        <v>68</v>
      </c>
      <c r="K20" s="7" t="s">
        <v>69</v>
      </c>
      <c r="L20" s="7" t="s">
        <v>68</v>
      </c>
      <c r="M20" s="7" t="s">
        <v>68</v>
      </c>
      <c r="N20" s="7" t="s">
        <v>70</v>
      </c>
      <c r="O20" s="7" t="s">
        <v>69</v>
      </c>
      <c r="P20" s="7" t="s">
        <v>70</v>
      </c>
    </row>
    <row r="21" spans="1:16" ht="31.5" x14ac:dyDescent="0.25">
      <c r="A21" s="4" t="s">
        <v>18</v>
      </c>
      <c r="B21" s="5">
        <v>11</v>
      </c>
      <c r="C21" s="6">
        <v>43</v>
      </c>
      <c r="D21" s="7">
        <f t="shared" si="0"/>
        <v>0.43</v>
      </c>
      <c r="E21" s="7" t="s">
        <v>68</v>
      </c>
      <c r="F21" s="7" t="s">
        <v>70</v>
      </c>
      <c r="G21" s="7" t="s">
        <v>70</v>
      </c>
      <c r="H21" s="7" t="s">
        <v>70</v>
      </c>
      <c r="I21" s="7" t="s">
        <v>68</v>
      </c>
      <c r="J21" s="7" t="s">
        <v>68</v>
      </c>
      <c r="K21" s="7" t="s">
        <v>69</v>
      </c>
      <c r="L21" s="7" t="s">
        <v>68</v>
      </c>
      <c r="M21" s="7" t="s">
        <v>68</v>
      </c>
      <c r="N21" s="7" t="s">
        <v>70</v>
      </c>
      <c r="O21" s="7" t="s">
        <v>69</v>
      </c>
      <c r="P21" s="7" t="s">
        <v>70</v>
      </c>
    </row>
    <row r="22" spans="1:16" ht="31.5" x14ac:dyDescent="0.25">
      <c r="A22" s="4" t="s">
        <v>19</v>
      </c>
      <c r="B22" s="5">
        <v>12</v>
      </c>
      <c r="C22" s="6">
        <v>136</v>
      </c>
      <c r="D22" s="7">
        <f t="shared" si="0"/>
        <v>1.36</v>
      </c>
    </row>
    <row r="23" spans="1:16" ht="31.5" x14ac:dyDescent="0.25">
      <c r="A23" s="4" t="s">
        <v>20</v>
      </c>
      <c r="B23" s="5">
        <v>12</v>
      </c>
      <c r="C23" s="6">
        <v>136</v>
      </c>
      <c r="D23" s="7">
        <f t="shared" si="0"/>
        <v>1.36</v>
      </c>
    </row>
    <row r="24" spans="1:16" ht="31.5" x14ac:dyDescent="0.25">
      <c r="A24" s="4" t="s">
        <v>21</v>
      </c>
      <c r="B24" s="5">
        <v>13</v>
      </c>
      <c r="C24" s="6">
        <v>323</v>
      </c>
      <c r="D24" s="7">
        <f t="shared" si="0"/>
        <v>3.23</v>
      </c>
      <c r="E24" s="7" t="s">
        <v>69</v>
      </c>
      <c r="F24" s="7" t="s">
        <v>69</v>
      </c>
      <c r="G24" s="7" t="s">
        <v>69</v>
      </c>
      <c r="H24" s="7" t="s">
        <v>69</v>
      </c>
      <c r="I24" s="7" t="s">
        <v>69</v>
      </c>
      <c r="J24" s="7" t="s">
        <v>69</v>
      </c>
      <c r="K24" s="7" t="s">
        <v>69</v>
      </c>
      <c r="L24" s="7" t="s">
        <v>69</v>
      </c>
      <c r="M24" s="7" t="s">
        <v>69</v>
      </c>
      <c r="N24" s="7" t="s">
        <v>69</v>
      </c>
      <c r="O24" s="7" t="s">
        <v>69</v>
      </c>
      <c r="P24" s="7" t="s">
        <v>69</v>
      </c>
    </row>
    <row r="25" spans="1:16" ht="31.5" x14ac:dyDescent="0.25">
      <c r="A25" s="4" t="s">
        <v>22</v>
      </c>
      <c r="B25" s="5">
        <v>14</v>
      </c>
      <c r="C25" s="6">
        <v>200</v>
      </c>
      <c r="D25" s="7">
        <f t="shared" si="0"/>
        <v>2</v>
      </c>
    </row>
    <row r="26" spans="1:16" ht="31.5" x14ac:dyDescent="0.25">
      <c r="A26" s="4" t="s">
        <v>23</v>
      </c>
      <c r="B26" s="5">
        <v>15</v>
      </c>
      <c r="C26" s="6">
        <v>202</v>
      </c>
      <c r="D26" s="7">
        <f t="shared" si="0"/>
        <v>2.02</v>
      </c>
    </row>
    <row r="27" spans="1:16" ht="31.5" x14ac:dyDescent="0.25">
      <c r="A27" s="4" t="s">
        <v>23</v>
      </c>
      <c r="B27" s="5">
        <v>16</v>
      </c>
      <c r="C27" s="6">
        <v>299</v>
      </c>
      <c r="D27" s="7">
        <f t="shared" si="0"/>
        <v>2.99</v>
      </c>
    </row>
    <row r="28" spans="1:16" ht="31.5" x14ac:dyDescent="0.25">
      <c r="A28" s="4" t="s">
        <v>24</v>
      </c>
      <c r="B28" s="5">
        <v>17</v>
      </c>
      <c r="C28" s="6">
        <v>214</v>
      </c>
      <c r="D28" s="7">
        <f t="shared" si="0"/>
        <v>2.14</v>
      </c>
      <c r="E28" s="7" t="s">
        <v>69</v>
      </c>
      <c r="F28" s="7" t="s">
        <v>69</v>
      </c>
      <c r="G28" s="7" t="s">
        <v>69</v>
      </c>
      <c r="H28" s="7" t="s">
        <v>69</v>
      </c>
      <c r="I28" s="7" t="s">
        <v>69</v>
      </c>
      <c r="J28" s="7" t="s">
        <v>69</v>
      </c>
      <c r="K28" s="7" t="s">
        <v>69</v>
      </c>
      <c r="L28" s="7" t="s">
        <v>68</v>
      </c>
      <c r="M28" s="7" t="s">
        <v>68</v>
      </c>
      <c r="N28" s="7" t="s">
        <v>68</v>
      </c>
      <c r="O28" s="7" t="s">
        <v>69</v>
      </c>
      <c r="P28" s="7" t="s">
        <v>69</v>
      </c>
    </row>
    <row r="29" spans="1:16" ht="31.5" x14ac:dyDescent="0.25">
      <c r="A29" s="4" t="s">
        <v>25</v>
      </c>
      <c r="B29" s="5">
        <v>18</v>
      </c>
      <c r="C29" s="6">
        <v>134</v>
      </c>
      <c r="D29" s="7">
        <f t="shared" si="0"/>
        <v>1.34</v>
      </c>
      <c r="E29" s="7" t="s">
        <v>69</v>
      </c>
      <c r="F29" s="7" t="s">
        <v>69</v>
      </c>
      <c r="G29" s="7" t="s">
        <v>69</v>
      </c>
      <c r="H29" s="7" t="s">
        <v>69</v>
      </c>
      <c r="I29" s="7" t="s">
        <v>69</v>
      </c>
      <c r="J29" s="7" t="s">
        <v>69</v>
      </c>
      <c r="K29" s="7" t="s">
        <v>69</v>
      </c>
      <c r="L29" s="7" t="s">
        <v>69</v>
      </c>
      <c r="M29" s="7" t="s">
        <v>69</v>
      </c>
      <c r="N29" s="7" t="s">
        <v>69</v>
      </c>
      <c r="O29" s="7" t="s">
        <v>69</v>
      </c>
      <c r="P29" s="7" t="s">
        <v>69</v>
      </c>
    </row>
    <row r="30" spans="1:16" ht="31.5" x14ac:dyDescent="0.25">
      <c r="A30" s="4" t="s">
        <v>26</v>
      </c>
      <c r="B30" s="5">
        <v>18</v>
      </c>
      <c r="C30" s="6">
        <v>134</v>
      </c>
      <c r="D30" s="7">
        <f t="shared" si="0"/>
        <v>1.34</v>
      </c>
      <c r="E30" s="7" t="s">
        <v>69</v>
      </c>
      <c r="F30" s="7" t="s">
        <v>69</v>
      </c>
      <c r="G30" s="7" t="s">
        <v>69</v>
      </c>
      <c r="H30" s="7" t="s">
        <v>69</v>
      </c>
      <c r="I30" s="7" t="s">
        <v>69</v>
      </c>
      <c r="J30" s="7" t="s">
        <v>69</v>
      </c>
      <c r="K30" s="7" t="s">
        <v>69</v>
      </c>
      <c r="L30" s="7" t="s">
        <v>69</v>
      </c>
      <c r="M30" s="7" t="s">
        <v>69</v>
      </c>
      <c r="N30" s="7" t="s">
        <v>69</v>
      </c>
      <c r="O30" s="7" t="s">
        <v>69</v>
      </c>
      <c r="P30" s="7" t="s">
        <v>69</v>
      </c>
    </row>
    <row r="31" spans="1:16" ht="31.5" x14ac:dyDescent="0.25">
      <c r="A31" s="4" t="s">
        <v>27</v>
      </c>
      <c r="B31" s="5">
        <v>19</v>
      </c>
      <c r="C31" s="6">
        <v>162</v>
      </c>
      <c r="D31" s="7">
        <f t="shared" si="0"/>
        <v>1.62</v>
      </c>
    </row>
    <row r="32" spans="1:16" ht="31.5" x14ac:dyDescent="0.25">
      <c r="A32" s="4" t="s">
        <v>28</v>
      </c>
      <c r="B32" s="5">
        <v>19</v>
      </c>
      <c r="C32" s="6">
        <v>162</v>
      </c>
      <c r="D32" s="7">
        <f t="shared" si="0"/>
        <v>1.62</v>
      </c>
    </row>
    <row r="33" spans="1:16" ht="31.5" x14ac:dyDescent="0.25">
      <c r="A33" s="4" t="s">
        <v>29</v>
      </c>
      <c r="B33" s="5">
        <v>20</v>
      </c>
      <c r="C33" s="6">
        <v>199</v>
      </c>
      <c r="D33" s="7">
        <f t="shared" si="0"/>
        <v>1.99</v>
      </c>
    </row>
    <row r="34" spans="1:16" ht="31.5" x14ac:dyDescent="0.25">
      <c r="A34" s="4" t="s">
        <v>30</v>
      </c>
      <c r="B34" s="5">
        <v>21</v>
      </c>
      <c r="C34" s="6">
        <v>101</v>
      </c>
      <c r="D34" s="7">
        <f t="shared" si="0"/>
        <v>1.01</v>
      </c>
    </row>
    <row r="35" spans="1:16" ht="31.5" x14ac:dyDescent="0.25">
      <c r="A35" s="4" t="s">
        <v>31</v>
      </c>
      <c r="B35" s="5">
        <v>21</v>
      </c>
      <c r="C35" s="6">
        <v>101</v>
      </c>
      <c r="D35" s="7">
        <f t="shared" si="0"/>
        <v>1.01</v>
      </c>
    </row>
    <row r="36" spans="1:16" ht="31.5" x14ac:dyDescent="0.25">
      <c r="A36" s="4" t="s">
        <v>32</v>
      </c>
      <c r="B36" s="5">
        <v>22</v>
      </c>
      <c r="C36" s="6">
        <v>298</v>
      </c>
      <c r="D36" s="7">
        <f t="shared" si="0"/>
        <v>2.98</v>
      </c>
    </row>
    <row r="37" spans="1:16" ht="15.75" x14ac:dyDescent="0.25">
      <c r="A37" s="4" t="s">
        <v>33</v>
      </c>
      <c r="B37" s="5">
        <v>23</v>
      </c>
      <c r="C37" s="6">
        <v>211</v>
      </c>
      <c r="D37" s="7">
        <f t="shared" si="0"/>
        <v>2.11</v>
      </c>
    </row>
    <row r="38" spans="1:16" ht="31.5" x14ac:dyDescent="0.25">
      <c r="A38" s="4" t="s">
        <v>34</v>
      </c>
      <c r="B38" s="5">
        <v>24</v>
      </c>
      <c r="C38" s="6">
        <v>134</v>
      </c>
      <c r="D38" s="7">
        <f t="shared" si="0"/>
        <v>1.34</v>
      </c>
      <c r="E38" s="7" t="s">
        <v>69</v>
      </c>
      <c r="F38" s="7" t="s">
        <v>69</v>
      </c>
      <c r="G38" s="7" t="s">
        <v>69</v>
      </c>
      <c r="H38" s="7" t="s">
        <v>69</v>
      </c>
      <c r="I38" s="7" t="s">
        <v>69</v>
      </c>
      <c r="J38" s="7" t="s">
        <v>69</v>
      </c>
      <c r="K38" s="7" t="s">
        <v>69</v>
      </c>
      <c r="L38" s="7" t="s">
        <v>69</v>
      </c>
      <c r="M38" s="7" t="s">
        <v>69</v>
      </c>
      <c r="N38" s="7" t="s">
        <v>69</v>
      </c>
      <c r="O38" s="7" t="s">
        <v>69</v>
      </c>
      <c r="P38" s="7" t="s">
        <v>69</v>
      </c>
    </row>
    <row r="39" spans="1:16" ht="31.5" x14ac:dyDescent="0.25">
      <c r="A39" s="4" t="s">
        <v>35</v>
      </c>
      <c r="B39" s="5">
        <v>24</v>
      </c>
      <c r="C39" s="6">
        <v>134</v>
      </c>
      <c r="D39" s="7">
        <f t="shared" si="0"/>
        <v>1.34</v>
      </c>
      <c r="E39" s="7" t="s">
        <v>69</v>
      </c>
      <c r="F39" s="7" t="s">
        <v>69</v>
      </c>
      <c r="G39" s="7" t="s">
        <v>69</v>
      </c>
      <c r="H39" s="7" t="s">
        <v>69</v>
      </c>
      <c r="I39" s="7" t="s">
        <v>69</v>
      </c>
      <c r="J39" s="7" t="s">
        <v>69</v>
      </c>
      <c r="K39" s="7" t="s">
        <v>69</v>
      </c>
      <c r="L39" s="7" t="s">
        <v>69</v>
      </c>
      <c r="M39" s="7" t="s">
        <v>69</v>
      </c>
      <c r="N39" s="7" t="s">
        <v>69</v>
      </c>
      <c r="O39" s="7" t="s">
        <v>69</v>
      </c>
      <c r="P39" s="7" t="s">
        <v>69</v>
      </c>
    </row>
    <row r="40" spans="1:16" ht="31.5" x14ac:dyDescent="0.25">
      <c r="A40" s="4" t="s">
        <v>36</v>
      </c>
      <c r="B40" s="5">
        <v>25</v>
      </c>
      <c r="C40" s="6">
        <v>97</v>
      </c>
      <c r="D40" s="7">
        <f t="shared" si="0"/>
        <v>0.97</v>
      </c>
    </row>
    <row r="41" spans="1:16" ht="31.5" x14ac:dyDescent="0.25">
      <c r="A41" s="4" t="s">
        <v>37</v>
      </c>
      <c r="B41" s="5">
        <v>25</v>
      </c>
      <c r="C41" s="6">
        <v>97</v>
      </c>
      <c r="D41" s="7">
        <f t="shared" si="0"/>
        <v>0.97</v>
      </c>
    </row>
    <row r="42" spans="1:16" ht="31.5" x14ac:dyDescent="0.25">
      <c r="A42" s="4" t="s">
        <v>38</v>
      </c>
      <c r="B42" s="5">
        <v>25</v>
      </c>
      <c r="C42" s="6">
        <v>97</v>
      </c>
      <c r="D42" s="7">
        <f t="shared" si="0"/>
        <v>0.97</v>
      </c>
    </row>
    <row r="43" spans="1:16" ht="31.5" x14ac:dyDescent="0.25">
      <c r="A43" s="4" t="s">
        <v>39</v>
      </c>
      <c r="B43" s="5">
        <v>26</v>
      </c>
      <c r="C43" s="6">
        <v>207</v>
      </c>
      <c r="D43" s="7">
        <f t="shared" si="0"/>
        <v>2.0699999999999998</v>
      </c>
      <c r="E43" s="7" t="s">
        <v>69</v>
      </c>
      <c r="F43" s="7" t="s">
        <v>69</v>
      </c>
      <c r="G43" s="7" t="s">
        <v>69</v>
      </c>
      <c r="H43" s="7" t="s">
        <v>69</v>
      </c>
      <c r="I43" s="7" t="s">
        <v>69</v>
      </c>
      <c r="J43" s="7" t="s">
        <v>69</v>
      </c>
      <c r="K43" s="7" t="s">
        <v>69</v>
      </c>
      <c r="L43" s="7" t="s">
        <v>69</v>
      </c>
      <c r="M43" s="7" t="s">
        <v>69</v>
      </c>
      <c r="N43" s="7" t="s">
        <v>69</v>
      </c>
      <c r="O43" s="7" t="s">
        <v>69</v>
      </c>
      <c r="P43" s="7" t="s">
        <v>69</v>
      </c>
    </row>
    <row r="44" spans="1:16" ht="31.5" x14ac:dyDescent="0.25">
      <c r="A44" s="4" t="s">
        <v>40</v>
      </c>
      <c r="B44" s="5">
        <v>27</v>
      </c>
      <c r="C44" s="6">
        <v>205</v>
      </c>
      <c r="D44" s="7">
        <f t="shared" si="0"/>
        <v>2.0499999999999998</v>
      </c>
      <c r="E44" s="7" t="s">
        <v>69</v>
      </c>
      <c r="F44" s="7" t="s">
        <v>69</v>
      </c>
      <c r="G44" s="7" t="s">
        <v>69</v>
      </c>
      <c r="H44" s="7" t="s">
        <v>69</v>
      </c>
      <c r="I44" s="7" t="s">
        <v>69</v>
      </c>
      <c r="J44" s="7" t="s">
        <v>69</v>
      </c>
      <c r="K44" s="7" t="s">
        <v>69</v>
      </c>
      <c r="L44" s="7" t="s">
        <v>70</v>
      </c>
      <c r="M44" s="7" t="s">
        <v>70</v>
      </c>
      <c r="N44" s="7" t="s">
        <v>70</v>
      </c>
      <c r="O44" s="7" t="s">
        <v>69</v>
      </c>
      <c r="P44" s="7" t="s">
        <v>69</v>
      </c>
    </row>
    <row r="45" spans="1:16" ht="31.5" x14ac:dyDescent="0.25">
      <c r="A45" s="4" t="s">
        <v>40</v>
      </c>
      <c r="B45" s="5">
        <v>28</v>
      </c>
      <c r="C45" s="6">
        <v>298</v>
      </c>
      <c r="D45" s="7">
        <f t="shared" si="0"/>
        <v>2.98</v>
      </c>
      <c r="E45" s="7" t="s">
        <v>69</v>
      </c>
      <c r="F45" s="7" t="s">
        <v>69</v>
      </c>
      <c r="G45" s="7" t="s">
        <v>69</v>
      </c>
      <c r="H45" s="7" t="s">
        <v>69</v>
      </c>
      <c r="I45" s="7" t="s">
        <v>69</v>
      </c>
      <c r="J45" s="7" t="s">
        <v>69</v>
      </c>
      <c r="K45" s="7" t="s">
        <v>69</v>
      </c>
      <c r="L45" s="7" t="s">
        <v>70</v>
      </c>
      <c r="M45" s="7" t="s">
        <v>70</v>
      </c>
      <c r="N45" s="7" t="s">
        <v>70</v>
      </c>
      <c r="O45" s="7" t="s">
        <v>69</v>
      </c>
      <c r="P45" s="7" t="s">
        <v>69</v>
      </c>
    </row>
    <row r="46" spans="1:16" ht="31.5" x14ac:dyDescent="0.25">
      <c r="A46" s="4" t="s">
        <v>41</v>
      </c>
      <c r="B46" s="5">
        <v>29</v>
      </c>
      <c r="C46" s="6">
        <v>293</v>
      </c>
      <c r="D46" s="7">
        <f t="shared" si="0"/>
        <v>2.93</v>
      </c>
      <c r="E46" s="7" t="s">
        <v>69</v>
      </c>
      <c r="F46" s="7" t="s">
        <v>69</v>
      </c>
      <c r="G46" s="7" t="s">
        <v>69</v>
      </c>
      <c r="H46" s="7" t="s">
        <v>69</v>
      </c>
      <c r="I46" s="7" t="s">
        <v>69</v>
      </c>
      <c r="J46" s="7" t="s">
        <v>69</v>
      </c>
      <c r="K46" s="7" t="s">
        <v>69</v>
      </c>
      <c r="L46" s="7" t="s">
        <v>69</v>
      </c>
      <c r="M46" s="7" t="s">
        <v>69</v>
      </c>
      <c r="N46" s="7" t="s">
        <v>69</v>
      </c>
      <c r="O46" s="7" t="s">
        <v>69</v>
      </c>
      <c r="P46" s="7" t="s">
        <v>69</v>
      </c>
    </row>
    <row r="47" spans="1:16" ht="31.5" x14ac:dyDescent="0.25">
      <c r="A47" s="4" t="s">
        <v>79</v>
      </c>
      <c r="B47" s="5">
        <v>30</v>
      </c>
      <c r="C47" s="6">
        <v>203</v>
      </c>
      <c r="D47" s="7">
        <f t="shared" si="0"/>
        <v>2.0299999999999998</v>
      </c>
      <c r="E47" s="7" t="s">
        <v>69</v>
      </c>
      <c r="F47" s="7" t="s">
        <v>69</v>
      </c>
      <c r="G47" s="7" t="s">
        <v>69</v>
      </c>
      <c r="H47" s="9" t="s">
        <v>69</v>
      </c>
      <c r="I47" s="9" t="s">
        <v>80</v>
      </c>
      <c r="J47" s="9" t="s">
        <v>69</v>
      </c>
      <c r="K47" s="9" t="s">
        <v>69</v>
      </c>
      <c r="L47" s="9" t="s">
        <v>68</v>
      </c>
      <c r="M47" s="9" t="s">
        <v>68</v>
      </c>
      <c r="N47" s="9" t="s">
        <v>68</v>
      </c>
      <c r="O47" s="9" t="s">
        <v>69</v>
      </c>
      <c r="P47" s="9" t="s">
        <v>69</v>
      </c>
    </row>
    <row r="48" spans="1:16" ht="31.5" x14ac:dyDescent="0.25">
      <c r="A48" s="4" t="s">
        <v>42</v>
      </c>
      <c r="B48" s="5">
        <v>31</v>
      </c>
      <c r="C48" s="6">
        <v>203</v>
      </c>
      <c r="D48" s="7">
        <f t="shared" si="0"/>
        <v>2.0299999999999998</v>
      </c>
    </row>
    <row r="49" spans="1:16" ht="31.5" x14ac:dyDescent="0.25">
      <c r="A49" s="4" t="s">
        <v>43</v>
      </c>
      <c r="B49" s="5">
        <v>32</v>
      </c>
      <c r="C49" s="6">
        <v>295</v>
      </c>
      <c r="D49" s="7">
        <f t="shared" si="0"/>
        <v>2.95</v>
      </c>
      <c r="E49" s="7" t="s">
        <v>69</v>
      </c>
      <c r="F49" s="7" t="s">
        <v>69</v>
      </c>
      <c r="G49" s="7" t="s">
        <v>69</v>
      </c>
      <c r="H49" s="7" t="s">
        <v>69</v>
      </c>
      <c r="I49" s="7" t="s">
        <v>69</v>
      </c>
      <c r="J49" s="7" t="s">
        <v>69</v>
      </c>
      <c r="K49" s="7" t="s">
        <v>69</v>
      </c>
      <c r="L49" s="7" t="s">
        <v>69</v>
      </c>
      <c r="M49" s="7" t="s">
        <v>69</v>
      </c>
      <c r="N49" s="7" t="s">
        <v>69</v>
      </c>
      <c r="O49" s="7" t="s">
        <v>69</v>
      </c>
      <c r="P49" s="7" t="s">
        <v>69</v>
      </c>
    </row>
    <row r="50" spans="1:16" ht="31.5" x14ac:dyDescent="0.25">
      <c r="A50" s="4" t="s">
        <v>44</v>
      </c>
      <c r="B50" s="5">
        <v>33</v>
      </c>
      <c r="C50" s="6">
        <v>293</v>
      </c>
      <c r="D50" s="7">
        <f t="shared" si="0"/>
        <v>2.93</v>
      </c>
      <c r="E50" s="7" t="s">
        <v>69</v>
      </c>
      <c r="F50" s="7" t="s">
        <v>69</v>
      </c>
      <c r="G50" s="7" t="s">
        <v>69</v>
      </c>
      <c r="H50" s="7" t="s">
        <v>69</v>
      </c>
      <c r="I50" s="7" t="s">
        <v>69</v>
      </c>
      <c r="J50" s="7" t="s">
        <v>69</v>
      </c>
      <c r="K50" s="7" t="s">
        <v>69</v>
      </c>
      <c r="L50" s="7" t="s">
        <v>69</v>
      </c>
      <c r="M50" s="7" t="s">
        <v>69</v>
      </c>
      <c r="N50" s="7" t="s">
        <v>69</v>
      </c>
      <c r="O50" s="7" t="s">
        <v>69</v>
      </c>
      <c r="P50" s="7" t="s">
        <v>69</v>
      </c>
    </row>
    <row r="51" spans="1:16" ht="31.5" x14ac:dyDescent="0.25">
      <c r="A51" s="4" t="s">
        <v>45</v>
      </c>
      <c r="B51" s="5">
        <v>34</v>
      </c>
      <c r="C51" s="6">
        <v>203</v>
      </c>
      <c r="D51" s="7">
        <f t="shared" si="0"/>
        <v>2.0299999999999998</v>
      </c>
    </row>
    <row r="52" spans="1:16" ht="31.5" x14ac:dyDescent="0.25">
      <c r="A52" s="4" t="s">
        <v>46</v>
      </c>
      <c r="B52" s="5">
        <v>35</v>
      </c>
      <c r="C52" s="6">
        <v>101</v>
      </c>
      <c r="D52" s="7">
        <f t="shared" si="0"/>
        <v>1.01</v>
      </c>
      <c r="E52" s="7" t="s">
        <v>69</v>
      </c>
      <c r="F52" s="7" t="s">
        <v>69</v>
      </c>
      <c r="G52" s="7" t="s">
        <v>69</v>
      </c>
      <c r="H52" s="7" t="s">
        <v>69</v>
      </c>
      <c r="I52" s="7" t="s">
        <v>69</v>
      </c>
      <c r="J52" s="7" t="s">
        <v>69</v>
      </c>
      <c r="K52" s="7" t="s">
        <v>69</v>
      </c>
      <c r="L52" s="7" t="s">
        <v>68</v>
      </c>
      <c r="M52" s="7" t="s">
        <v>68</v>
      </c>
      <c r="N52" s="7" t="s">
        <v>68</v>
      </c>
      <c r="O52" s="7" t="s">
        <v>69</v>
      </c>
      <c r="P52" s="7" t="s">
        <v>70</v>
      </c>
    </row>
    <row r="53" spans="1:16" ht="31.5" x14ac:dyDescent="0.25">
      <c r="A53" s="4" t="s">
        <v>47</v>
      </c>
      <c r="B53" s="5">
        <v>35</v>
      </c>
      <c r="C53" s="6">
        <v>101</v>
      </c>
      <c r="D53" s="7">
        <f t="shared" si="0"/>
        <v>1.01</v>
      </c>
      <c r="E53" s="7" t="s">
        <v>69</v>
      </c>
      <c r="F53" s="7" t="s">
        <v>69</v>
      </c>
      <c r="G53" s="7" t="s">
        <v>69</v>
      </c>
      <c r="H53" s="7" t="s">
        <v>69</v>
      </c>
      <c r="I53" s="7" t="s">
        <v>69</v>
      </c>
      <c r="J53" s="7" t="s">
        <v>69</v>
      </c>
      <c r="K53" s="7" t="s">
        <v>69</v>
      </c>
      <c r="L53" s="7" t="s">
        <v>68</v>
      </c>
      <c r="M53" s="7" t="s">
        <v>68</v>
      </c>
      <c r="N53" s="7" t="s">
        <v>68</v>
      </c>
      <c r="O53" s="7" t="s">
        <v>69</v>
      </c>
      <c r="P53" s="7" t="s">
        <v>70</v>
      </c>
    </row>
    <row r="54" spans="1:16" ht="31.5" x14ac:dyDescent="0.25">
      <c r="A54" s="4" t="s">
        <v>48</v>
      </c>
      <c r="B54" s="5">
        <v>36</v>
      </c>
      <c r="C54" s="6">
        <v>292</v>
      </c>
      <c r="D54" s="7">
        <f t="shared" si="0"/>
        <v>2.92</v>
      </c>
    </row>
    <row r="55" spans="1:16" ht="31.5" x14ac:dyDescent="0.25">
      <c r="A55" s="4" t="s">
        <v>49</v>
      </c>
      <c r="B55" s="5">
        <v>37</v>
      </c>
      <c r="C55" s="6">
        <v>289</v>
      </c>
      <c r="D55" s="7">
        <f t="shared" si="0"/>
        <v>2.89</v>
      </c>
    </row>
    <row r="56" spans="1:16" ht="31.5" x14ac:dyDescent="0.25">
      <c r="A56" s="4" t="s">
        <v>50</v>
      </c>
      <c r="B56" s="5">
        <v>38</v>
      </c>
      <c r="C56" s="6">
        <v>200</v>
      </c>
      <c r="D56" s="7">
        <f t="shared" si="0"/>
        <v>2</v>
      </c>
      <c r="E56" s="7" t="s">
        <v>69</v>
      </c>
      <c r="F56" s="7" t="s">
        <v>69</v>
      </c>
      <c r="G56" s="7" t="s">
        <v>69</v>
      </c>
      <c r="H56" s="7" t="s">
        <v>69</v>
      </c>
      <c r="I56" s="7" t="s">
        <v>69</v>
      </c>
      <c r="J56" s="7" t="s">
        <v>69</v>
      </c>
      <c r="K56" s="7" t="s">
        <v>69</v>
      </c>
      <c r="L56" s="7" t="s">
        <v>68</v>
      </c>
      <c r="M56" s="7" t="s">
        <v>68</v>
      </c>
      <c r="N56" s="7" t="s">
        <v>70</v>
      </c>
      <c r="O56" s="7" t="s">
        <v>69</v>
      </c>
      <c r="P56" s="7" t="s">
        <v>70</v>
      </c>
    </row>
    <row r="57" spans="1:16" ht="31.5" x14ac:dyDescent="0.25">
      <c r="A57" s="4" t="s">
        <v>51</v>
      </c>
      <c r="B57" s="5">
        <v>39</v>
      </c>
      <c r="C57" s="6">
        <v>202</v>
      </c>
      <c r="D57" s="7">
        <f t="shared" si="0"/>
        <v>2.02</v>
      </c>
    </row>
    <row r="58" spans="1:16" ht="31.5" x14ac:dyDescent="0.25">
      <c r="A58" s="4" t="s">
        <v>52</v>
      </c>
      <c r="B58" s="5">
        <v>40</v>
      </c>
      <c r="C58" s="6">
        <v>289</v>
      </c>
      <c r="D58" s="7">
        <f t="shared" si="0"/>
        <v>2.89</v>
      </c>
      <c r="E58" s="7" t="s">
        <v>69</v>
      </c>
      <c r="F58" s="7" t="s">
        <v>69</v>
      </c>
      <c r="G58" s="7" t="s">
        <v>69</v>
      </c>
      <c r="H58" s="7" t="s">
        <v>69</v>
      </c>
      <c r="I58" s="7" t="s">
        <v>69</v>
      </c>
      <c r="J58" s="7" t="s">
        <v>69</v>
      </c>
      <c r="K58" s="7" t="s">
        <v>69</v>
      </c>
      <c r="L58" s="7" t="s">
        <v>69</v>
      </c>
      <c r="M58" s="7" t="s">
        <v>69</v>
      </c>
      <c r="N58" s="7" t="s">
        <v>69</v>
      </c>
      <c r="O58" s="7" t="s">
        <v>69</v>
      </c>
      <c r="P58" s="7" t="s">
        <v>69</v>
      </c>
    </row>
    <row r="59" spans="1:16" ht="15.75" x14ac:dyDescent="0.25">
      <c r="A59" s="10" t="s">
        <v>74</v>
      </c>
      <c r="E59" s="7">
        <f>'наличие голоса'!A58</f>
        <v>61.140000000000008</v>
      </c>
      <c r="F59" s="7">
        <f>'наличие голоса'!B58</f>
        <v>61.140000000000008</v>
      </c>
      <c r="G59" s="7">
        <f>'наличие голоса'!C58</f>
        <v>61.140000000000008</v>
      </c>
      <c r="H59" s="7">
        <f>'наличие голоса'!D58</f>
        <v>61.140000000000008</v>
      </c>
      <c r="I59" s="7">
        <f>'наличие голоса'!E58</f>
        <v>61.140000000000008</v>
      </c>
      <c r="J59" s="7">
        <f>'наличие голоса'!F58</f>
        <v>61.140000000000008</v>
      </c>
      <c r="K59" s="7">
        <f>'наличие голоса'!G58</f>
        <v>61.140000000000008</v>
      </c>
      <c r="L59" s="7">
        <f>'наличие голоса'!H58</f>
        <v>61.140000000000008</v>
      </c>
      <c r="M59" s="7">
        <f>'наличие голоса'!I58</f>
        <v>61.140000000000008</v>
      </c>
      <c r="N59" s="7">
        <f>'наличие голоса'!J58</f>
        <v>61.140000000000008</v>
      </c>
      <c r="O59" s="7">
        <f>'наличие голоса'!K58</f>
        <v>61.140000000000008</v>
      </c>
      <c r="P59" s="7">
        <f>'наличие голоса'!L58</f>
        <v>61.140000000000008</v>
      </c>
    </row>
    <row r="60" spans="1:16" ht="15.75" x14ac:dyDescent="0.25">
      <c r="A60" s="10" t="s">
        <v>71</v>
      </c>
      <c r="E60" s="7">
        <f>за!A58</f>
        <v>56.99</v>
      </c>
      <c r="F60" s="7">
        <f>за!B58</f>
        <v>55.789999999999992</v>
      </c>
      <c r="G60" s="7">
        <f>за!C58</f>
        <v>53.97</v>
      </c>
      <c r="H60" s="7">
        <f>за!D58</f>
        <v>55.969999999999992</v>
      </c>
      <c r="I60" s="7">
        <f>за!E58</f>
        <v>48.68</v>
      </c>
      <c r="J60" s="7">
        <f>за!F58</f>
        <v>53.97</v>
      </c>
      <c r="K60" s="7">
        <f>за!G58</f>
        <v>58.99</v>
      </c>
      <c r="L60" s="7">
        <f>за!H58</f>
        <v>25.38</v>
      </c>
      <c r="M60" s="7">
        <f>за!I58</f>
        <v>25.38</v>
      </c>
      <c r="N60" s="7">
        <f>за!J58</f>
        <v>27.53</v>
      </c>
      <c r="O60" s="7">
        <f>за!K58</f>
        <v>61.140000000000008</v>
      </c>
      <c r="P60" s="7">
        <f>за!L58</f>
        <v>49.71</v>
      </c>
    </row>
    <row r="61" spans="1:16" ht="15.75" x14ac:dyDescent="0.25">
      <c r="A61" s="10" t="s">
        <v>72</v>
      </c>
      <c r="E61" s="7">
        <f>против!A58</f>
        <v>4.1500000000000004</v>
      </c>
      <c r="F61" s="7">
        <f>против!B58</f>
        <v>0</v>
      </c>
      <c r="G61" s="7">
        <f>против!C58</f>
        <v>2</v>
      </c>
      <c r="H61" s="7">
        <f>против!D58</f>
        <v>0</v>
      </c>
      <c r="I61" s="7">
        <f>против!E58</f>
        <v>4.1500000000000004</v>
      </c>
      <c r="J61" s="7">
        <f>против!F58</f>
        <v>4.1500000000000004</v>
      </c>
      <c r="K61" s="7">
        <f>против!G58</f>
        <v>0</v>
      </c>
      <c r="L61" s="7">
        <f>против!H58</f>
        <v>28.580000000000002</v>
      </c>
      <c r="M61" s="7">
        <f>против!I58</f>
        <v>25.560000000000002</v>
      </c>
      <c r="N61" s="7">
        <f>против!J58</f>
        <v>16.11</v>
      </c>
      <c r="O61" s="7">
        <f>против!K58</f>
        <v>0</v>
      </c>
      <c r="P61" s="7">
        <f>против!L58</f>
        <v>5.26</v>
      </c>
    </row>
    <row r="62" spans="1:16" ht="15.75" x14ac:dyDescent="0.25">
      <c r="A62" s="10" t="s">
        <v>73</v>
      </c>
      <c r="E62" s="7">
        <f>воздержался!A58</f>
        <v>0</v>
      </c>
      <c r="F62" s="7">
        <f>воздержался!B58</f>
        <v>5.35</v>
      </c>
      <c r="G62" s="7">
        <f>воздержался!C58</f>
        <v>5.17</v>
      </c>
      <c r="H62" s="7">
        <f>воздержался!D58</f>
        <v>5.17</v>
      </c>
      <c r="I62" s="7">
        <f>воздержался!E58</f>
        <v>6.2799999999999994</v>
      </c>
      <c r="J62" s="7">
        <f>воздержался!F58</f>
        <v>3.02</v>
      </c>
      <c r="K62" s="7">
        <f>воздержался!G58</f>
        <v>2.15</v>
      </c>
      <c r="L62" s="7">
        <f>воздержался!H58</f>
        <v>7.18</v>
      </c>
      <c r="M62" s="7">
        <f>воздержался!I58</f>
        <v>10.199999999999999</v>
      </c>
      <c r="N62" s="7">
        <f>воздержался!J58</f>
        <v>17.5</v>
      </c>
      <c r="O62" s="7">
        <f>воздержался!K58</f>
        <v>0</v>
      </c>
      <c r="P62" s="7">
        <f>воздержался!L58</f>
        <v>6.17</v>
      </c>
    </row>
    <row r="63" spans="1:16" ht="15.75" x14ac:dyDescent="0.25">
      <c r="A63" s="10" t="s">
        <v>75</v>
      </c>
      <c r="E63" s="11">
        <f>E60/E$59</f>
        <v>0.93212299640170093</v>
      </c>
      <c r="F63" s="11">
        <f t="shared" ref="F63:P63" si="1">F60/F$59</f>
        <v>0.91249591102387939</v>
      </c>
      <c r="G63" s="11">
        <f t="shared" si="1"/>
        <v>0.88272816486751704</v>
      </c>
      <c r="H63" s="11">
        <f t="shared" si="1"/>
        <v>0.91543997383055253</v>
      </c>
      <c r="I63" s="11">
        <f t="shared" si="1"/>
        <v>0.79620543016028777</v>
      </c>
      <c r="J63" s="11">
        <f t="shared" si="1"/>
        <v>0.88272816486751704</v>
      </c>
      <c r="K63" s="11">
        <f t="shared" si="1"/>
        <v>0.96483480536473654</v>
      </c>
      <c r="L63" s="11">
        <f t="shared" si="1"/>
        <v>0.41511285574092238</v>
      </c>
      <c r="M63" s="11">
        <f t="shared" si="1"/>
        <v>0.41511285574092238</v>
      </c>
      <c r="N63" s="11">
        <f t="shared" si="1"/>
        <v>0.45027805037618579</v>
      </c>
      <c r="O63" s="11">
        <f t="shared" si="1"/>
        <v>1</v>
      </c>
      <c r="P63" s="11">
        <f t="shared" si="1"/>
        <v>0.81305201177625119</v>
      </c>
    </row>
    <row r="64" spans="1:16" ht="31.5" x14ac:dyDescent="0.25">
      <c r="A64" s="10" t="s">
        <v>76</v>
      </c>
      <c r="E64" s="11">
        <f t="shared" ref="E64:P64" si="2">E61/E$59</f>
        <v>6.7877003598298985E-2</v>
      </c>
      <c r="F64" s="11">
        <f t="shared" si="2"/>
        <v>0</v>
      </c>
      <c r="G64" s="11">
        <f t="shared" si="2"/>
        <v>3.2711808963035653E-2</v>
      </c>
      <c r="H64" s="11">
        <f t="shared" si="2"/>
        <v>0</v>
      </c>
      <c r="I64" s="11">
        <f t="shared" si="2"/>
        <v>6.7877003598298985E-2</v>
      </c>
      <c r="J64" s="11">
        <f t="shared" si="2"/>
        <v>6.7877003598298985E-2</v>
      </c>
      <c r="K64" s="11">
        <f t="shared" si="2"/>
        <v>0</v>
      </c>
      <c r="L64" s="11">
        <f t="shared" si="2"/>
        <v>0.46745175008177947</v>
      </c>
      <c r="M64" s="11">
        <f t="shared" si="2"/>
        <v>0.41805691854759569</v>
      </c>
      <c r="N64" s="11">
        <f t="shared" si="2"/>
        <v>0.26349362119725217</v>
      </c>
      <c r="O64" s="11">
        <f t="shared" si="2"/>
        <v>0</v>
      </c>
      <c r="P64" s="11">
        <f t="shared" si="2"/>
        <v>8.603205757278376E-2</v>
      </c>
    </row>
    <row r="65" spans="1:16" ht="31.5" x14ac:dyDescent="0.25">
      <c r="A65" s="10" t="s">
        <v>77</v>
      </c>
      <c r="E65" s="11">
        <f t="shared" ref="E65:P65" si="3">E62/E$59</f>
        <v>0</v>
      </c>
      <c r="F65" s="11">
        <f t="shared" si="3"/>
        <v>8.7504088976120359E-2</v>
      </c>
      <c r="G65" s="11">
        <f t="shared" si="3"/>
        <v>8.4560026169447161E-2</v>
      </c>
      <c r="H65" s="11">
        <f t="shared" si="3"/>
        <v>8.4560026169447161E-2</v>
      </c>
      <c r="I65" s="11">
        <f t="shared" si="3"/>
        <v>0.10271508014393194</v>
      </c>
      <c r="J65" s="11">
        <f t="shared" si="3"/>
        <v>4.9394831534183836E-2</v>
      </c>
      <c r="K65" s="11">
        <f t="shared" si="3"/>
        <v>3.5165194635263325E-2</v>
      </c>
      <c r="L65" s="11">
        <f t="shared" si="3"/>
        <v>0.11743539417729798</v>
      </c>
      <c r="M65" s="11">
        <f t="shared" si="3"/>
        <v>0.16683022571148182</v>
      </c>
      <c r="N65" s="11">
        <f t="shared" si="3"/>
        <v>0.28622832842656193</v>
      </c>
      <c r="O65" s="11">
        <f t="shared" si="3"/>
        <v>0</v>
      </c>
      <c r="P65" s="11">
        <f t="shared" si="3"/>
        <v>0.10091593065096499</v>
      </c>
    </row>
    <row r="66" spans="1:16" ht="31.5" x14ac:dyDescent="0.25">
      <c r="A66" s="10" t="s">
        <v>82</v>
      </c>
      <c r="E66" s="7">
        <f t="shared" ref="E66:P66" si="4">ROUND(E59*1741.1/100,2)</f>
        <v>1064.51</v>
      </c>
      <c r="F66" s="7">
        <f t="shared" si="4"/>
        <v>1064.51</v>
      </c>
      <c r="G66" s="7">
        <f t="shared" si="4"/>
        <v>1064.51</v>
      </c>
      <c r="H66" s="7">
        <f t="shared" si="4"/>
        <v>1064.51</v>
      </c>
      <c r="I66" s="7">
        <f t="shared" si="4"/>
        <v>1064.51</v>
      </c>
      <c r="J66" s="7">
        <f t="shared" si="4"/>
        <v>1064.51</v>
      </c>
      <c r="K66" s="7">
        <f t="shared" si="4"/>
        <v>1064.51</v>
      </c>
      <c r="L66" s="7">
        <f t="shared" si="4"/>
        <v>1064.51</v>
      </c>
      <c r="M66" s="7">
        <f t="shared" si="4"/>
        <v>1064.51</v>
      </c>
      <c r="N66" s="7">
        <f t="shared" si="4"/>
        <v>1064.51</v>
      </c>
      <c r="O66" s="7">
        <f t="shared" si="4"/>
        <v>1064.51</v>
      </c>
      <c r="P66" s="7">
        <f t="shared" si="4"/>
        <v>1064.51</v>
      </c>
    </row>
    <row r="67" spans="1:16" ht="15.75" x14ac:dyDescent="0.25">
      <c r="A67" s="10" t="s">
        <v>83</v>
      </c>
      <c r="E67" s="7">
        <f t="shared" ref="E67:P67" si="5">ROUND(E60*1741.1/100,2)</f>
        <v>992.25</v>
      </c>
      <c r="F67" s="7">
        <f t="shared" si="5"/>
        <v>971.36</v>
      </c>
      <c r="G67" s="7">
        <f t="shared" si="5"/>
        <v>939.67</v>
      </c>
      <c r="H67" s="7">
        <f t="shared" si="5"/>
        <v>974.49</v>
      </c>
      <c r="I67" s="7">
        <f t="shared" si="5"/>
        <v>847.57</v>
      </c>
      <c r="J67" s="7">
        <f t="shared" si="5"/>
        <v>939.67</v>
      </c>
      <c r="K67" s="7">
        <f t="shared" si="5"/>
        <v>1027.07</v>
      </c>
      <c r="L67" s="7">
        <f t="shared" si="5"/>
        <v>441.89</v>
      </c>
      <c r="M67" s="7">
        <f t="shared" si="5"/>
        <v>441.89</v>
      </c>
      <c r="N67" s="7">
        <f t="shared" si="5"/>
        <v>479.32</v>
      </c>
      <c r="O67" s="7">
        <f t="shared" si="5"/>
        <v>1064.51</v>
      </c>
      <c r="P67" s="7">
        <f t="shared" si="5"/>
        <v>865.5</v>
      </c>
    </row>
    <row r="68" spans="1:16" ht="15.75" x14ac:dyDescent="0.25">
      <c r="A68" s="10" t="s">
        <v>84</v>
      </c>
      <c r="E68" s="7">
        <f t="shared" ref="E68:P68" si="6">ROUND(E61*1741.1/100,2)</f>
        <v>72.260000000000005</v>
      </c>
      <c r="F68" s="7">
        <f t="shared" si="6"/>
        <v>0</v>
      </c>
      <c r="G68" s="7">
        <f t="shared" si="6"/>
        <v>34.82</v>
      </c>
      <c r="H68" s="7">
        <f t="shared" si="6"/>
        <v>0</v>
      </c>
      <c r="I68" s="7">
        <f t="shared" si="6"/>
        <v>72.260000000000005</v>
      </c>
      <c r="J68" s="7">
        <f t="shared" si="6"/>
        <v>72.260000000000005</v>
      </c>
      <c r="K68" s="7">
        <f t="shared" si="6"/>
        <v>0</v>
      </c>
      <c r="L68" s="7">
        <f t="shared" si="6"/>
        <v>497.61</v>
      </c>
      <c r="M68" s="7">
        <f t="shared" si="6"/>
        <v>445.03</v>
      </c>
      <c r="N68" s="7">
        <f t="shared" si="6"/>
        <v>280.49</v>
      </c>
      <c r="O68" s="7">
        <f t="shared" si="6"/>
        <v>0</v>
      </c>
      <c r="P68" s="7">
        <f t="shared" si="6"/>
        <v>91.58</v>
      </c>
    </row>
    <row r="69" spans="1:16" ht="15.75" x14ac:dyDescent="0.25">
      <c r="A69" s="10" t="s">
        <v>85</v>
      </c>
      <c r="E69" s="7">
        <f t="shared" ref="E69:P69" si="7">ROUND(E62*1741.1/100,2)</f>
        <v>0</v>
      </c>
      <c r="F69" s="7">
        <f t="shared" si="7"/>
        <v>93.15</v>
      </c>
      <c r="G69" s="7">
        <f t="shared" si="7"/>
        <v>90.01</v>
      </c>
      <c r="H69" s="7">
        <f t="shared" si="7"/>
        <v>90.01</v>
      </c>
      <c r="I69" s="7">
        <f t="shared" si="7"/>
        <v>109.34</v>
      </c>
      <c r="J69" s="7">
        <f t="shared" si="7"/>
        <v>52.58</v>
      </c>
      <c r="K69" s="7">
        <f t="shared" si="7"/>
        <v>37.43</v>
      </c>
      <c r="L69" s="7">
        <f t="shared" si="7"/>
        <v>125.01</v>
      </c>
      <c r="M69" s="7">
        <f t="shared" si="7"/>
        <v>177.59</v>
      </c>
      <c r="N69" s="7">
        <f t="shared" si="7"/>
        <v>304.69</v>
      </c>
      <c r="O69" s="7">
        <f t="shared" si="7"/>
        <v>0</v>
      </c>
      <c r="P69" s="7">
        <f t="shared" si="7"/>
        <v>107.43</v>
      </c>
    </row>
  </sheetData>
  <conditionalFormatting sqref="E2:P58">
    <cfRule type="containsText" dxfId="6" priority="13" operator="containsText" text="воздержался">
      <formula>NOT(ISERROR(SEARCH("воздержался",E2)))</formula>
    </cfRule>
    <cfRule type="containsText" dxfId="5" priority="14" operator="containsText" text="за">
      <formula>NOT(ISERROR(SEARCH("за",E2)))</formula>
    </cfRule>
    <cfRule type="containsText" dxfId="4" priority="15" operator="containsText" text="против">
      <formula>NOT(ISERROR(SEARCH("против",E2)))</formula>
    </cfRule>
  </conditionalFormatting>
  <conditionalFormatting sqref="E59:P59">
    <cfRule type="cellIs" dxfId="3" priority="11" operator="lessThan">
      <formula>50</formula>
    </cfRule>
    <cfRule type="cellIs" dxfId="2" priority="12" operator="greaterThan">
      <formula>50</formula>
    </cfRule>
  </conditionalFormatting>
  <conditionalFormatting sqref="E63:P63">
    <cfRule type="cellIs" dxfId="1" priority="1" operator="lessThan">
      <formula>E64</formula>
    </cfRule>
    <cfRule type="cellIs" dxfId="0" priority="2" operator="greaterThan">
      <formula>E64</formula>
    </cfRule>
  </conditionalFormatting>
  <pageMargins left="0.70866141732283472" right="0.70866141732283472" top="0.74803149606299213" bottom="0.74803149606299213" header="0.31496062992125984" footer="0.31496062992125984"/>
  <pageSetup paperSize="9" scale="40" fitToWidth="0" fitToHeight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Лист2!$A$1:$A$3</xm:f>
          </x14:formula1>
          <xm:sqref>E2:P58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14" sqref="A14"/>
    </sheetView>
  </sheetViews>
  <sheetFormatPr defaultRowHeight="15" x14ac:dyDescent="0.25"/>
  <cols>
    <col min="1" max="1" width="12.85546875" bestFit="1" customWidth="1"/>
  </cols>
  <sheetData>
    <row r="1" spans="1:1" x14ac:dyDescent="0.25">
      <c r="A1" t="s">
        <v>69</v>
      </c>
    </row>
    <row r="2" spans="1:1" x14ac:dyDescent="0.25">
      <c r="A2" t="s">
        <v>68</v>
      </c>
    </row>
    <row r="3" spans="1:1" x14ac:dyDescent="0.25">
      <c r="A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opLeftCell="A40" workbookViewId="0">
      <selection activeCell="A60" sqref="A60"/>
    </sheetView>
  </sheetViews>
  <sheetFormatPr defaultRowHeight="15" x14ac:dyDescent="0.25"/>
  <sheetData>
    <row r="1" spans="1:12" x14ac:dyDescent="0.25">
      <c r="A1">
        <f>IF(NOT(ISBLANK(Лист1!E2)),Лист1!$D2,0)</f>
        <v>1.63</v>
      </c>
      <c r="B1">
        <f>IF(NOT(ISBLANK(Лист1!F2)),Лист1!$D2,0)</f>
        <v>1.63</v>
      </c>
      <c r="C1">
        <f>IF(NOT(ISBLANK(Лист1!G2)),Лист1!$D2,0)</f>
        <v>1.63</v>
      </c>
      <c r="D1">
        <f>IF(NOT(ISBLANK(Лист1!H2)),Лист1!$D2,0)</f>
        <v>1.63</v>
      </c>
      <c r="E1">
        <f>IF(NOT(ISBLANK(Лист1!I2)),Лист1!$D2,0)</f>
        <v>1.63</v>
      </c>
      <c r="F1">
        <f>IF(NOT(ISBLANK(Лист1!J2)),Лист1!$D2,0)</f>
        <v>1.63</v>
      </c>
      <c r="G1">
        <f>IF(NOT(ISBLANK(Лист1!K2)),Лист1!$D2,0)</f>
        <v>1.63</v>
      </c>
      <c r="H1">
        <f>IF(NOT(ISBLANK(Лист1!L2)),Лист1!$D2,0)</f>
        <v>1.63</v>
      </c>
      <c r="I1">
        <f>IF(NOT(ISBLANK(Лист1!M2)),Лист1!$D2,0)</f>
        <v>1.63</v>
      </c>
      <c r="J1">
        <f>IF(NOT(ISBLANK(Лист1!N2)),Лист1!$D2,0)</f>
        <v>1.63</v>
      </c>
      <c r="K1">
        <f>IF(NOT(ISBLANK(Лист1!O2)),Лист1!$D2,0)</f>
        <v>1.63</v>
      </c>
      <c r="L1">
        <f>IF(NOT(ISBLANK(Лист1!P2)),Лист1!$D2,0)</f>
        <v>1.63</v>
      </c>
    </row>
    <row r="2" spans="1:12" x14ac:dyDescent="0.25">
      <c r="A2">
        <f>IF(NOT(ISBLANK(Лист1!E3)),Лист1!$D3,0)</f>
        <v>1.63</v>
      </c>
      <c r="B2">
        <f>IF(NOT(ISBLANK(Лист1!F3)),Лист1!$D3,0)</f>
        <v>1.63</v>
      </c>
      <c r="C2">
        <f>IF(NOT(ISBLANK(Лист1!G3)),Лист1!$D3,0)</f>
        <v>1.63</v>
      </c>
      <c r="D2">
        <f>IF(NOT(ISBLANK(Лист1!H3)),Лист1!$D3,0)</f>
        <v>1.63</v>
      </c>
      <c r="E2">
        <f>IF(NOT(ISBLANK(Лист1!I3)),Лист1!$D3,0)</f>
        <v>1.63</v>
      </c>
      <c r="F2">
        <f>IF(NOT(ISBLANK(Лист1!J3)),Лист1!$D3,0)</f>
        <v>1.63</v>
      </c>
      <c r="G2">
        <f>IF(NOT(ISBLANK(Лист1!K3)),Лист1!$D3,0)</f>
        <v>1.63</v>
      </c>
      <c r="H2">
        <f>IF(NOT(ISBLANK(Лист1!L3)),Лист1!$D3,0)</f>
        <v>1.63</v>
      </c>
      <c r="I2">
        <f>IF(NOT(ISBLANK(Лист1!M3)),Лист1!$D3,0)</f>
        <v>1.63</v>
      </c>
      <c r="J2">
        <f>IF(NOT(ISBLANK(Лист1!N3)),Лист1!$D3,0)</f>
        <v>1.63</v>
      </c>
      <c r="K2">
        <f>IF(NOT(ISBLANK(Лист1!O3)),Лист1!$D3,0)</f>
        <v>1.63</v>
      </c>
      <c r="L2">
        <f>IF(NOT(ISBLANK(Лист1!P3)),Лист1!$D3,0)</f>
        <v>1.63</v>
      </c>
    </row>
    <row r="3" spans="1:12" x14ac:dyDescent="0.25">
      <c r="A3">
        <f>IF(NOT(ISBLANK(Лист1!E4)),Лист1!$D4,0)</f>
        <v>2</v>
      </c>
      <c r="B3">
        <f>IF(NOT(ISBLANK(Лист1!F4)),Лист1!$D4,0)</f>
        <v>2</v>
      </c>
      <c r="C3">
        <f>IF(NOT(ISBLANK(Лист1!G4)),Лист1!$D4,0)</f>
        <v>2</v>
      </c>
      <c r="D3">
        <f>IF(NOT(ISBLANK(Лист1!H4)),Лист1!$D4,0)</f>
        <v>2</v>
      </c>
      <c r="E3">
        <f>IF(NOT(ISBLANK(Лист1!I4)),Лист1!$D4,0)</f>
        <v>2</v>
      </c>
      <c r="F3">
        <f>IF(NOT(ISBLANK(Лист1!J4)),Лист1!$D4,0)</f>
        <v>2</v>
      </c>
      <c r="G3">
        <f>IF(NOT(ISBLANK(Лист1!K4)),Лист1!$D4,0)</f>
        <v>2</v>
      </c>
      <c r="H3">
        <f>IF(NOT(ISBLANK(Лист1!L4)),Лист1!$D4,0)</f>
        <v>2</v>
      </c>
      <c r="I3">
        <f>IF(NOT(ISBLANK(Лист1!M4)),Лист1!$D4,0)</f>
        <v>2</v>
      </c>
      <c r="J3">
        <f>IF(NOT(ISBLANK(Лист1!N4)),Лист1!$D4,0)</f>
        <v>2</v>
      </c>
      <c r="K3">
        <f>IF(NOT(ISBLANK(Лист1!O4)),Лист1!$D4,0)</f>
        <v>2</v>
      </c>
      <c r="L3">
        <f>IF(NOT(ISBLANK(Лист1!P4)),Лист1!$D4,0)</f>
        <v>2</v>
      </c>
    </row>
    <row r="4" spans="1:12" x14ac:dyDescent="0.25">
      <c r="A4">
        <f>IF(NOT(ISBLANK(Лист1!E5)),Лист1!$D5,0)</f>
        <v>2.04</v>
      </c>
      <c r="B4">
        <f>IF(NOT(ISBLANK(Лист1!F5)),Лист1!$D5,0)</f>
        <v>2.04</v>
      </c>
      <c r="C4">
        <f>IF(NOT(ISBLANK(Лист1!G5)),Лист1!$D5,0)</f>
        <v>2.04</v>
      </c>
      <c r="D4">
        <f>IF(NOT(ISBLANK(Лист1!H5)),Лист1!$D5,0)</f>
        <v>2.04</v>
      </c>
      <c r="E4">
        <f>IF(NOT(ISBLANK(Лист1!I5)),Лист1!$D5,0)</f>
        <v>2.04</v>
      </c>
      <c r="F4">
        <f>IF(NOT(ISBLANK(Лист1!J5)),Лист1!$D5,0)</f>
        <v>2.04</v>
      </c>
      <c r="G4">
        <f>IF(NOT(ISBLANK(Лист1!K5)),Лист1!$D5,0)</f>
        <v>2.04</v>
      </c>
      <c r="H4">
        <f>IF(NOT(ISBLANK(Лист1!L5)),Лист1!$D5,0)</f>
        <v>2.04</v>
      </c>
      <c r="I4">
        <f>IF(NOT(ISBLANK(Лист1!M5)),Лист1!$D5,0)</f>
        <v>2.04</v>
      </c>
      <c r="J4">
        <f>IF(NOT(ISBLANK(Лист1!N5)),Лист1!$D5,0)</f>
        <v>2.04</v>
      </c>
      <c r="K4">
        <f>IF(NOT(ISBLANK(Лист1!O5)),Лист1!$D5,0)</f>
        <v>2.04</v>
      </c>
      <c r="L4">
        <f>IF(NOT(ISBLANK(Лист1!P5)),Лист1!$D5,0)</f>
        <v>2.04</v>
      </c>
    </row>
    <row r="5" spans="1:12" x14ac:dyDescent="0.25">
      <c r="A5">
        <f>IF(NOT(ISBLANK(Лист1!E6)),Лист1!$D6,0)</f>
        <v>1.51</v>
      </c>
      <c r="B5">
        <f>IF(NOT(ISBLANK(Лист1!F6)),Лист1!$D6,0)</f>
        <v>1.51</v>
      </c>
      <c r="C5">
        <f>IF(NOT(ISBLANK(Лист1!G6)),Лист1!$D6,0)</f>
        <v>1.51</v>
      </c>
      <c r="D5">
        <f>IF(NOT(ISBLANK(Лист1!H6)),Лист1!$D6,0)</f>
        <v>1.51</v>
      </c>
      <c r="E5">
        <f>IF(NOT(ISBLANK(Лист1!I6)),Лист1!$D6,0)</f>
        <v>1.51</v>
      </c>
      <c r="F5">
        <f>IF(NOT(ISBLANK(Лист1!J6)),Лист1!$D6,0)</f>
        <v>1.51</v>
      </c>
      <c r="G5">
        <f>IF(NOT(ISBLANK(Лист1!K6)),Лист1!$D6,0)</f>
        <v>1.51</v>
      </c>
      <c r="H5">
        <f>IF(NOT(ISBLANK(Лист1!L6)),Лист1!$D6,0)</f>
        <v>1.51</v>
      </c>
      <c r="I5">
        <f>IF(NOT(ISBLANK(Лист1!M6)),Лист1!$D6,0)</f>
        <v>1.51</v>
      </c>
      <c r="J5">
        <f>IF(NOT(ISBLANK(Лист1!N6)),Лист1!$D6,0)</f>
        <v>1.51</v>
      </c>
      <c r="K5">
        <f>IF(NOT(ISBLANK(Лист1!O6)),Лист1!$D6,0)</f>
        <v>1.51</v>
      </c>
      <c r="L5">
        <f>IF(NOT(ISBLANK(Лист1!P6)),Лист1!$D6,0)</f>
        <v>1.51</v>
      </c>
    </row>
    <row r="6" spans="1:12" x14ac:dyDescent="0.25">
      <c r="A6">
        <f>IF(NOT(ISBLANK(Лист1!E7)),Лист1!$D7,0)</f>
        <v>1.51</v>
      </c>
      <c r="B6">
        <f>IF(NOT(ISBLANK(Лист1!F7)),Лист1!$D7,0)</f>
        <v>1.51</v>
      </c>
      <c r="C6">
        <f>IF(NOT(ISBLANK(Лист1!G7)),Лист1!$D7,0)</f>
        <v>1.51</v>
      </c>
      <c r="D6">
        <f>IF(NOT(ISBLANK(Лист1!H7)),Лист1!$D7,0)</f>
        <v>1.51</v>
      </c>
      <c r="E6">
        <f>IF(NOT(ISBLANK(Лист1!I7)),Лист1!$D7,0)</f>
        <v>1.51</v>
      </c>
      <c r="F6">
        <f>IF(NOT(ISBLANK(Лист1!J7)),Лист1!$D7,0)</f>
        <v>1.51</v>
      </c>
      <c r="G6">
        <f>IF(NOT(ISBLANK(Лист1!K7)),Лист1!$D7,0)</f>
        <v>1.51</v>
      </c>
      <c r="H6">
        <f>IF(NOT(ISBLANK(Лист1!L7)),Лист1!$D7,0)</f>
        <v>1.51</v>
      </c>
      <c r="I6">
        <f>IF(NOT(ISBLANK(Лист1!M7)),Лист1!$D7,0)</f>
        <v>1.51</v>
      </c>
      <c r="J6">
        <f>IF(NOT(ISBLANK(Лист1!N7)),Лист1!$D7,0)</f>
        <v>1.51</v>
      </c>
      <c r="K6">
        <f>IF(NOT(ISBLANK(Лист1!O7)),Лист1!$D7,0)</f>
        <v>1.51</v>
      </c>
      <c r="L6">
        <f>IF(NOT(ISBLANK(Лист1!P7)),Лист1!$D7,0)</f>
        <v>1.51</v>
      </c>
    </row>
    <row r="7" spans="1:12" x14ac:dyDescent="0.25">
      <c r="A7">
        <f>IF(NOT(ISBLANK(Лист1!E8)),Лист1!$D8,0)</f>
        <v>2.15</v>
      </c>
      <c r="B7">
        <f>IF(NOT(ISBLANK(Лист1!F8)),Лист1!$D8,0)</f>
        <v>2.15</v>
      </c>
      <c r="C7">
        <f>IF(NOT(ISBLANK(Лист1!G8)),Лист1!$D8,0)</f>
        <v>2.15</v>
      </c>
      <c r="D7">
        <f>IF(NOT(ISBLANK(Лист1!H8)),Лист1!$D8,0)</f>
        <v>2.15</v>
      </c>
      <c r="E7">
        <f>IF(NOT(ISBLANK(Лист1!I8)),Лист1!$D8,0)</f>
        <v>2.15</v>
      </c>
      <c r="F7">
        <f>IF(NOT(ISBLANK(Лист1!J8)),Лист1!$D8,0)</f>
        <v>2.15</v>
      </c>
      <c r="G7">
        <f>IF(NOT(ISBLANK(Лист1!K8)),Лист1!$D8,0)</f>
        <v>2.15</v>
      </c>
      <c r="H7">
        <f>IF(NOT(ISBLANK(Лист1!L8)),Лист1!$D8,0)</f>
        <v>2.15</v>
      </c>
      <c r="I7">
        <f>IF(NOT(ISBLANK(Лист1!M8)),Лист1!$D8,0)</f>
        <v>2.15</v>
      </c>
      <c r="J7">
        <f>IF(NOT(ISBLANK(Лист1!N8)),Лист1!$D8,0)</f>
        <v>2.15</v>
      </c>
      <c r="K7">
        <f>IF(NOT(ISBLANK(Лист1!O8)),Лист1!$D8,0)</f>
        <v>2.15</v>
      </c>
      <c r="L7">
        <f>IF(NOT(ISBLANK(Лист1!P8)),Лист1!$D8,0)</f>
        <v>2.15</v>
      </c>
    </row>
    <row r="8" spans="1:12" x14ac:dyDescent="0.25">
      <c r="A8">
        <f>IF(NOT(ISBLANK(Лист1!E9)),Лист1!$D9,0)</f>
        <v>1.36</v>
      </c>
      <c r="B8">
        <f>IF(NOT(ISBLANK(Лист1!F9)),Лист1!$D9,0)</f>
        <v>1.36</v>
      </c>
      <c r="C8">
        <f>IF(NOT(ISBLANK(Лист1!G9)),Лист1!$D9,0)</f>
        <v>1.36</v>
      </c>
      <c r="D8">
        <f>IF(NOT(ISBLANK(Лист1!H9)),Лист1!$D9,0)</f>
        <v>1.36</v>
      </c>
      <c r="E8">
        <f>IF(NOT(ISBLANK(Лист1!I9)),Лист1!$D9,0)</f>
        <v>1.36</v>
      </c>
      <c r="F8">
        <f>IF(NOT(ISBLANK(Лист1!J9)),Лист1!$D9,0)</f>
        <v>1.36</v>
      </c>
      <c r="G8">
        <f>IF(NOT(ISBLANK(Лист1!K9)),Лист1!$D9,0)</f>
        <v>1.36</v>
      </c>
      <c r="H8">
        <f>IF(NOT(ISBLANK(Лист1!L9)),Лист1!$D9,0)</f>
        <v>1.36</v>
      </c>
      <c r="I8">
        <f>IF(NOT(ISBLANK(Лист1!M9)),Лист1!$D9,0)</f>
        <v>1.36</v>
      </c>
      <c r="J8">
        <f>IF(NOT(ISBLANK(Лист1!N9)),Лист1!$D9,0)</f>
        <v>1.36</v>
      </c>
      <c r="K8">
        <f>IF(NOT(ISBLANK(Лист1!O9)),Лист1!$D9,0)</f>
        <v>1.36</v>
      </c>
      <c r="L8">
        <f>IF(NOT(ISBLANK(Лист1!P9)),Лист1!$D9,0)</f>
        <v>1.36</v>
      </c>
    </row>
    <row r="9" spans="1:12" x14ac:dyDescent="0.25">
      <c r="A9">
        <f>IF(NOT(ISBLANK(Лист1!E10)),Лист1!$D10,0)</f>
        <v>1.36</v>
      </c>
      <c r="B9">
        <f>IF(NOT(ISBLANK(Лист1!F10)),Лист1!$D10,0)</f>
        <v>1.36</v>
      </c>
      <c r="C9">
        <f>IF(NOT(ISBLANK(Лист1!G10)),Лист1!$D10,0)</f>
        <v>1.36</v>
      </c>
      <c r="D9">
        <f>IF(NOT(ISBLANK(Лист1!H10)),Лист1!$D10,0)</f>
        <v>1.36</v>
      </c>
      <c r="E9">
        <f>IF(NOT(ISBLANK(Лист1!I10)),Лист1!$D10,0)</f>
        <v>1.36</v>
      </c>
      <c r="F9">
        <f>IF(NOT(ISBLANK(Лист1!J10)),Лист1!$D10,0)</f>
        <v>1.36</v>
      </c>
      <c r="G9">
        <f>IF(NOT(ISBLANK(Лист1!K10)),Лист1!$D10,0)</f>
        <v>1.36</v>
      </c>
      <c r="H9">
        <f>IF(NOT(ISBLANK(Лист1!L10)),Лист1!$D10,0)</f>
        <v>1.36</v>
      </c>
      <c r="I9">
        <f>IF(NOT(ISBLANK(Лист1!M10)),Лист1!$D10,0)</f>
        <v>1.36</v>
      </c>
      <c r="J9">
        <f>IF(NOT(ISBLANK(Лист1!N10)),Лист1!$D10,0)</f>
        <v>1.36</v>
      </c>
      <c r="K9">
        <f>IF(NOT(ISBLANK(Лист1!O10)),Лист1!$D10,0)</f>
        <v>1.36</v>
      </c>
      <c r="L9">
        <f>IF(NOT(ISBLANK(Лист1!P10)),Лист1!$D10,0)</f>
        <v>1.36</v>
      </c>
    </row>
    <row r="10" spans="1:12" x14ac:dyDescent="0.25">
      <c r="A10">
        <f>IF(NOT(ISBLANK(Лист1!E11)),Лист1!$D11,0)</f>
        <v>1.6</v>
      </c>
      <c r="B10">
        <f>IF(NOT(ISBLANK(Лист1!F11)),Лист1!$D11,0)</f>
        <v>1.6</v>
      </c>
      <c r="C10">
        <f>IF(NOT(ISBLANK(Лист1!G11)),Лист1!$D11,0)</f>
        <v>1.6</v>
      </c>
      <c r="D10">
        <f>IF(NOT(ISBLANK(Лист1!H11)),Лист1!$D11,0)</f>
        <v>1.6</v>
      </c>
      <c r="E10">
        <f>IF(NOT(ISBLANK(Лист1!I11)),Лист1!$D11,0)</f>
        <v>1.6</v>
      </c>
      <c r="F10">
        <f>IF(NOT(ISBLANK(Лист1!J11)),Лист1!$D11,0)</f>
        <v>1.6</v>
      </c>
      <c r="G10">
        <f>IF(NOT(ISBLANK(Лист1!K11)),Лист1!$D11,0)</f>
        <v>1.6</v>
      </c>
      <c r="H10">
        <f>IF(NOT(ISBLANK(Лист1!L11)),Лист1!$D11,0)</f>
        <v>1.6</v>
      </c>
      <c r="I10">
        <f>IF(NOT(ISBLANK(Лист1!M11)),Лист1!$D11,0)</f>
        <v>1.6</v>
      </c>
      <c r="J10">
        <f>IF(NOT(ISBLANK(Лист1!N11)),Лист1!$D11,0)</f>
        <v>1.6</v>
      </c>
      <c r="K10">
        <f>IF(NOT(ISBLANK(Лист1!O11)),Лист1!$D11,0)</f>
        <v>1.6</v>
      </c>
      <c r="L10">
        <f>IF(NOT(ISBLANK(Лист1!P11)),Лист1!$D11,0)</f>
        <v>1.6</v>
      </c>
    </row>
    <row r="11" spans="1:12" x14ac:dyDescent="0.25">
      <c r="A11">
        <f>IF(NOT(ISBLANK(Лист1!E12)),Лист1!$D12,0)</f>
        <v>1.6</v>
      </c>
      <c r="B11">
        <f>IF(NOT(ISBLANK(Лист1!F12)),Лист1!$D12,0)</f>
        <v>1.6</v>
      </c>
      <c r="C11">
        <f>IF(NOT(ISBLANK(Лист1!G12)),Лист1!$D12,0)</f>
        <v>1.6</v>
      </c>
      <c r="D11">
        <f>IF(NOT(ISBLANK(Лист1!H12)),Лист1!$D12,0)</f>
        <v>1.6</v>
      </c>
      <c r="E11">
        <f>IF(NOT(ISBLANK(Лист1!I12)),Лист1!$D12,0)</f>
        <v>1.6</v>
      </c>
      <c r="F11">
        <f>IF(NOT(ISBLANK(Лист1!J12)),Лист1!$D12,0)</f>
        <v>1.6</v>
      </c>
      <c r="G11">
        <f>IF(NOT(ISBLANK(Лист1!K12)),Лист1!$D12,0)</f>
        <v>1.6</v>
      </c>
      <c r="H11">
        <f>IF(NOT(ISBLANK(Лист1!L12)),Лист1!$D12,0)</f>
        <v>1.6</v>
      </c>
      <c r="I11">
        <f>IF(NOT(ISBLANK(Лист1!M12)),Лист1!$D12,0)</f>
        <v>1.6</v>
      </c>
      <c r="J11">
        <f>IF(NOT(ISBLANK(Лист1!N12)),Лист1!$D12,0)</f>
        <v>1.6</v>
      </c>
      <c r="K11">
        <f>IF(NOT(ISBLANK(Лист1!O12)),Лист1!$D12,0)</f>
        <v>1.6</v>
      </c>
      <c r="L11">
        <f>IF(NOT(ISBLANK(Лист1!P12)),Лист1!$D12,0)</f>
        <v>1.6</v>
      </c>
    </row>
    <row r="12" spans="1:12" x14ac:dyDescent="0.25">
      <c r="A12">
        <f>IF(NOT(ISBLANK(Лист1!E13)),Лист1!$D13,0)</f>
        <v>0</v>
      </c>
      <c r="B12">
        <f>IF(NOT(ISBLANK(Лист1!F13)),Лист1!$D13,0)</f>
        <v>0</v>
      </c>
      <c r="C12">
        <f>IF(NOT(ISBLANK(Лист1!G13)),Лист1!$D13,0)</f>
        <v>0</v>
      </c>
      <c r="D12">
        <f>IF(NOT(ISBLANK(Лист1!H13)),Лист1!$D13,0)</f>
        <v>0</v>
      </c>
      <c r="E12">
        <f>IF(NOT(ISBLANK(Лист1!I13)),Лист1!$D13,0)</f>
        <v>0</v>
      </c>
      <c r="F12">
        <f>IF(NOT(ISBLANK(Лист1!J13)),Лист1!$D13,0)</f>
        <v>0</v>
      </c>
      <c r="G12">
        <f>IF(NOT(ISBLANK(Лист1!K13)),Лист1!$D13,0)</f>
        <v>0</v>
      </c>
      <c r="H12">
        <f>IF(NOT(ISBLANK(Лист1!L13)),Лист1!$D13,0)</f>
        <v>0</v>
      </c>
      <c r="I12">
        <f>IF(NOT(ISBLANK(Лист1!M13)),Лист1!$D13,0)</f>
        <v>0</v>
      </c>
      <c r="J12">
        <f>IF(NOT(ISBLANK(Лист1!N13)),Лист1!$D13,0)</f>
        <v>0</v>
      </c>
      <c r="K12">
        <f>IF(NOT(ISBLANK(Лист1!O13)),Лист1!$D13,0)</f>
        <v>0</v>
      </c>
      <c r="L12">
        <f>IF(NOT(ISBLANK(Лист1!P13)),Лист1!$D13,0)</f>
        <v>0</v>
      </c>
    </row>
    <row r="13" spans="1:12" x14ac:dyDescent="0.25">
      <c r="A13">
        <f>IF(NOT(ISBLANK(Лист1!E14)),Лист1!$D14,0)</f>
        <v>2</v>
      </c>
      <c r="B13">
        <f>IF(NOT(ISBLANK(Лист1!F14)),Лист1!$D14,0)</f>
        <v>2</v>
      </c>
      <c r="C13">
        <f>IF(NOT(ISBLANK(Лист1!G14)),Лист1!$D14,0)</f>
        <v>2</v>
      </c>
      <c r="D13">
        <f>IF(NOT(ISBLANK(Лист1!H14)),Лист1!$D14,0)</f>
        <v>2</v>
      </c>
      <c r="E13">
        <f>IF(NOT(ISBLANK(Лист1!I14)),Лист1!$D14,0)</f>
        <v>2</v>
      </c>
      <c r="F13">
        <f>IF(NOT(ISBLANK(Лист1!J14)),Лист1!$D14,0)</f>
        <v>2</v>
      </c>
      <c r="G13">
        <f>IF(NOT(ISBLANK(Лист1!K14)),Лист1!$D14,0)</f>
        <v>2</v>
      </c>
      <c r="H13">
        <f>IF(NOT(ISBLANK(Лист1!L14)),Лист1!$D14,0)</f>
        <v>2</v>
      </c>
      <c r="I13">
        <f>IF(NOT(ISBLANK(Лист1!M14)),Лист1!$D14,0)</f>
        <v>2</v>
      </c>
      <c r="J13">
        <f>IF(NOT(ISBLANK(Лист1!N14)),Лист1!$D14,0)</f>
        <v>2</v>
      </c>
      <c r="K13">
        <f>IF(NOT(ISBLANK(Лист1!O14)),Лист1!$D14,0)</f>
        <v>2</v>
      </c>
      <c r="L13">
        <f>IF(NOT(ISBLANK(Лист1!P14)),Лист1!$D14,0)</f>
        <v>2</v>
      </c>
    </row>
    <row r="14" spans="1:12" x14ac:dyDescent="0.25">
      <c r="A14">
        <f>IF(NOT(ISBLANK(Лист1!E15)),Лист1!$D15,0)</f>
        <v>1.51</v>
      </c>
      <c r="B14">
        <f>IF(NOT(ISBLANK(Лист1!F15)),Лист1!$D15,0)</f>
        <v>1.51</v>
      </c>
      <c r="C14">
        <f>IF(NOT(ISBLANK(Лист1!G15)),Лист1!$D15,0)</f>
        <v>1.51</v>
      </c>
      <c r="D14">
        <f>IF(NOT(ISBLANK(Лист1!H15)),Лист1!$D15,0)</f>
        <v>1.51</v>
      </c>
      <c r="E14">
        <f>IF(NOT(ISBLANK(Лист1!I15)),Лист1!$D15,0)</f>
        <v>1.51</v>
      </c>
      <c r="F14">
        <f>IF(NOT(ISBLANK(Лист1!J15)),Лист1!$D15,0)</f>
        <v>1.51</v>
      </c>
      <c r="G14">
        <f>IF(NOT(ISBLANK(Лист1!K15)),Лист1!$D15,0)</f>
        <v>1.51</v>
      </c>
      <c r="H14">
        <f>IF(NOT(ISBLANK(Лист1!L15)),Лист1!$D15,0)</f>
        <v>1.51</v>
      </c>
      <c r="I14">
        <f>IF(NOT(ISBLANK(Лист1!M15)),Лист1!$D15,0)</f>
        <v>1.51</v>
      </c>
      <c r="J14">
        <f>IF(NOT(ISBLANK(Лист1!N15)),Лист1!$D15,0)</f>
        <v>1.51</v>
      </c>
      <c r="K14">
        <f>IF(NOT(ISBLANK(Лист1!O15)),Лист1!$D15,0)</f>
        <v>1.51</v>
      </c>
      <c r="L14">
        <f>IF(NOT(ISBLANK(Лист1!P15)),Лист1!$D15,0)</f>
        <v>1.51</v>
      </c>
    </row>
    <row r="15" spans="1:12" x14ac:dyDescent="0.25">
      <c r="A15">
        <f>IF(NOT(ISBLANK(Лист1!E16)),Лист1!$D16,0)</f>
        <v>1.51</v>
      </c>
      <c r="B15">
        <f>IF(NOT(ISBLANK(Лист1!F16)),Лист1!$D16,0)</f>
        <v>1.51</v>
      </c>
      <c r="C15">
        <f>IF(NOT(ISBLANK(Лист1!G16)),Лист1!$D16,0)</f>
        <v>1.51</v>
      </c>
      <c r="D15">
        <f>IF(NOT(ISBLANK(Лист1!H16)),Лист1!$D16,0)</f>
        <v>1.51</v>
      </c>
      <c r="E15">
        <f>IF(NOT(ISBLANK(Лист1!I16)),Лист1!$D16,0)</f>
        <v>1.51</v>
      </c>
      <c r="F15">
        <f>IF(NOT(ISBLANK(Лист1!J16)),Лист1!$D16,0)</f>
        <v>1.51</v>
      </c>
      <c r="G15">
        <f>IF(NOT(ISBLANK(Лист1!K16)),Лист1!$D16,0)</f>
        <v>1.51</v>
      </c>
      <c r="H15">
        <f>IF(NOT(ISBLANK(Лист1!L16)),Лист1!$D16,0)</f>
        <v>1.51</v>
      </c>
      <c r="I15">
        <f>IF(NOT(ISBLANK(Лист1!M16)),Лист1!$D16,0)</f>
        <v>1.51</v>
      </c>
      <c r="J15">
        <f>IF(NOT(ISBLANK(Лист1!N16)),Лист1!$D16,0)</f>
        <v>1.51</v>
      </c>
      <c r="K15">
        <f>IF(NOT(ISBLANK(Лист1!O16)),Лист1!$D16,0)</f>
        <v>1.51</v>
      </c>
      <c r="L15">
        <f>IF(NOT(ISBLANK(Лист1!P16)),Лист1!$D16,0)</f>
        <v>1.51</v>
      </c>
    </row>
    <row r="16" spans="1:12" x14ac:dyDescent="0.25">
      <c r="A16">
        <f>IF(NOT(ISBLANK(Лист1!E17)),Лист1!$D17,0)</f>
        <v>0.43</v>
      </c>
      <c r="B16">
        <f>IF(NOT(ISBLANK(Лист1!F17)),Лист1!$D17,0)</f>
        <v>0.43</v>
      </c>
      <c r="C16">
        <f>IF(NOT(ISBLANK(Лист1!G17)),Лист1!$D17,0)</f>
        <v>0.43</v>
      </c>
      <c r="D16">
        <f>IF(NOT(ISBLANK(Лист1!H17)),Лист1!$D17,0)</f>
        <v>0.43</v>
      </c>
      <c r="E16">
        <f>IF(NOT(ISBLANK(Лист1!I17)),Лист1!$D17,0)</f>
        <v>0.43</v>
      </c>
      <c r="F16">
        <f>IF(NOT(ISBLANK(Лист1!J17)),Лист1!$D17,0)</f>
        <v>0.43</v>
      </c>
      <c r="G16">
        <f>IF(NOT(ISBLANK(Лист1!K17)),Лист1!$D17,0)</f>
        <v>0.43</v>
      </c>
      <c r="H16">
        <f>IF(NOT(ISBLANK(Лист1!L17)),Лист1!$D17,0)</f>
        <v>0.43</v>
      </c>
      <c r="I16">
        <f>IF(NOT(ISBLANK(Лист1!M17)),Лист1!$D17,0)</f>
        <v>0.43</v>
      </c>
      <c r="J16">
        <f>IF(NOT(ISBLANK(Лист1!N17)),Лист1!$D17,0)</f>
        <v>0.43</v>
      </c>
      <c r="K16">
        <f>IF(NOT(ISBLANK(Лист1!O17)),Лист1!$D17,0)</f>
        <v>0.43</v>
      </c>
      <c r="L16">
        <f>IF(NOT(ISBLANK(Лист1!P17)),Лист1!$D17,0)</f>
        <v>0.43</v>
      </c>
    </row>
    <row r="17" spans="1:12" x14ac:dyDescent="0.25">
      <c r="A17">
        <f>IF(NOT(ISBLANK(Лист1!E18)),Лист1!$D18,0)</f>
        <v>0.43</v>
      </c>
      <c r="B17">
        <f>IF(NOT(ISBLANK(Лист1!F18)),Лист1!$D18,0)</f>
        <v>0.43</v>
      </c>
      <c r="C17">
        <f>IF(NOT(ISBLANK(Лист1!G18)),Лист1!$D18,0)</f>
        <v>0.43</v>
      </c>
      <c r="D17">
        <f>IF(NOT(ISBLANK(Лист1!H18)),Лист1!$D18,0)</f>
        <v>0.43</v>
      </c>
      <c r="E17">
        <f>IF(NOT(ISBLANK(Лист1!I18)),Лист1!$D18,0)</f>
        <v>0.43</v>
      </c>
      <c r="F17">
        <f>IF(NOT(ISBLANK(Лист1!J18)),Лист1!$D18,0)</f>
        <v>0.43</v>
      </c>
      <c r="G17">
        <f>IF(NOT(ISBLANK(Лист1!K18)),Лист1!$D18,0)</f>
        <v>0.43</v>
      </c>
      <c r="H17">
        <f>IF(NOT(ISBLANK(Лист1!L18)),Лист1!$D18,0)</f>
        <v>0.43</v>
      </c>
      <c r="I17">
        <f>IF(NOT(ISBLANK(Лист1!M18)),Лист1!$D18,0)</f>
        <v>0.43</v>
      </c>
      <c r="J17">
        <f>IF(NOT(ISBLANK(Лист1!N18)),Лист1!$D18,0)</f>
        <v>0.43</v>
      </c>
      <c r="K17">
        <f>IF(NOT(ISBLANK(Лист1!O18)),Лист1!$D18,0)</f>
        <v>0.43</v>
      </c>
      <c r="L17">
        <f>IF(NOT(ISBLANK(Лист1!P18)),Лист1!$D18,0)</f>
        <v>0.43</v>
      </c>
    </row>
    <row r="18" spans="1:12" x14ac:dyDescent="0.25">
      <c r="A18">
        <f>IF(NOT(ISBLANK(Лист1!E19)),Лист1!$D19,0)</f>
        <v>0.43</v>
      </c>
      <c r="B18">
        <f>IF(NOT(ISBLANK(Лист1!F19)),Лист1!$D19,0)</f>
        <v>0.43</v>
      </c>
      <c r="C18">
        <f>IF(NOT(ISBLANK(Лист1!G19)),Лист1!$D19,0)</f>
        <v>0.43</v>
      </c>
      <c r="D18">
        <f>IF(NOT(ISBLANK(Лист1!H19)),Лист1!$D19,0)</f>
        <v>0.43</v>
      </c>
      <c r="E18">
        <f>IF(NOT(ISBLANK(Лист1!I19)),Лист1!$D19,0)</f>
        <v>0.43</v>
      </c>
      <c r="F18">
        <f>IF(NOT(ISBLANK(Лист1!J19)),Лист1!$D19,0)</f>
        <v>0.43</v>
      </c>
      <c r="G18">
        <f>IF(NOT(ISBLANK(Лист1!K19)),Лист1!$D19,0)</f>
        <v>0.43</v>
      </c>
      <c r="H18">
        <f>IF(NOT(ISBLANK(Лист1!L19)),Лист1!$D19,0)</f>
        <v>0.43</v>
      </c>
      <c r="I18">
        <f>IF(NOT(ISBLANK(Лист1!M19)),Лист1!$D19,0)</f>
        <v>0.43</v>
      </c>
      <c r="J18">
        <f>IF(NOT(ISBLANK(Лист1!N19)),Лист1!$D19,0)</f>
        <v>0.43</v>
      </c>
      <c r="K18">
        <f>IF(NOT(ISBLANK(Лист1!O19)),Лист1!$D19,0)</f>
        <v>0.43</v>
      </c>
      <c r="L18">
        <f>IF(NOT(ISBLANK(Лист1!P19)),Лист1!$D19,0)</f>
        <v>0.43</v>
      </c>
    </row>
    <row r="19" spans="1:12" x14ac:dyDescent="0.25">
      <c r="A19">
        <f>IF(NOT(ISBLANK(Лист1!E20)),Лист1!$D20,0)</f>
        <v>0.43</v>
      </c>
      <c r="B19">
        <f>IF(NOT(ISBLANK(Лист1!F20)),Лист1!$D20,0)</f>
        <v>0.43</v>
      </c>
      <c r="C19">
        <f>IF(NOT(ISBLANK(Лист1!G20)),Лист1!$D20,0)</f>
        <v>0.43</v>
      </c>
      <c r="D19">
        <f>IF(NOT(ISBLANK(Лист1!H20)),Лист1!$D20,0)</f>
        <v>0.43</v>
      </c>
      <c r="E19">
        <f>IF(NOT(ISBLANK(Лист1!I20)),Лист1!$D20,0)</f>
        <v>0.43</v>
      </c>
      <c r="F19">
        <f>IF(NOT(ISBLANK(Лист1!J20)),Лист1!$D20,0)</f>
        <v>0.43</v>
      </c>
      <c r="G19">
        <f>IF(NOT(ISBLANK(Лист1!K20)),Лист1!$D20,0)</f>
        <v>0.43</v>
      </c>
      <c r="H19">
        <f>IF(NOT(ISBLANK(Лист1!L20)),Лист1!$D20,0)</f>
        <v>0.43</v>
      </c>
      <c r="I19">
        <f>IF(NOT(ISBLANK(Лист1!M20)),Лист1!$D20,0)</f>
        <v>0.43</v>
      </c>
      <c r="J19">
        <f>IF(NOT(ISBLANK(Лист1!N20)),Лист1!$D20,0)</f>
        <v>0.43</v>
      </c>
      <c r="K19">
        <f>IF(NOT(ISBLANK(Лист1!O20)),Лист1!$D20,0)</f>
        <v>0.43</v>
      </c>
      <c r="L19">
        <f>IF(NOT(ISBLANK(Лист1!P20)),Лист1!$D20,0)</f>
        <v>0.43</v>
      </c>
    </row>
    <row r="20" spans="1:12" x14ac:dyDescent="0.25">
      <c r="A20">
        <f>IF(NOT(ISBLANK(Лист1!E21)),Лист1!$D21,0)</f>
        <v>0.43</v>
      </c>
      <c r="B20">
        <f>IF(NOT(ISBLANK(Лист1!F21)),Лист1!$D21,0)</f>
        <v>0.43</v>
      </c>
      <c r="C20">
        <f>IF(NOT(ISBLANK(Лист1!G21)),Лист1!$D21,0)</f>
        <v>0.43</v>
      </c>
      <c r="D20">
        <f>IF(NOT(ISBLANK(Лист1!H21)),Лист1!$D21,0)</f>
        <v>0.43</v>
      </c>
      <c r="E20">
        <f>IF(NOT(ISBLANK(Лист1!I21)),Лист1!$D21,0)</f>
        <v>0.43</v>
      </c>
      <c r="F20">
        <f>IF(NOT(ISBLANK(Лист1!J21)),Лист1!$D21,0)</f>
        <v>0.43</v>
      </c>
      <c r="G20">
        <f>IF(NOT(ISBLANK(Лист1!K21)),Лист1!$D21,0)</f>
        <v>0.43</v>
      </c>
      <c r="H20">
        <f>IF(NOT(ISBLANK(Лист1!L21)),Лист1!$D21,0)</f>
        <v>0.43</v>
      </c>
      <c r="I20">
        <f>IF(NOT(ISBLANK(Лист1!M21)),Лист1!$D21,0)</f>
        <v>0.43</v>
      </c>
      <c r="J20">
        <f>IF(NOT(ISBLANK(Лист1!N21)),Лист1!$D21,0)</f>
        <v>0.43</v>
      </c>
      <c r="K20">
        <f>IF(NOT(ISBLANK(Лист1!O21)),Лист1!$D21,0)</f>
        <v>0.43</v>
      </c>
      <c r="L20">
        <f>IF(NOT(ISBLANK(Лист1!P21)),Лист1!$D21,0)</f>
        <v>0.43</v>
      </c>
    </row>
    <row r="21" spans="1:12" x14ac:dyDescent="0.25">
      <c r="A21">
        <f>IF(NOT(ISBLANK(Лист1!E22)),Лист1!$D22,0)</f>
        <v>0</v>
      </c>
      <c r="B21">
        <f>IF(NOT(ISBLANK(Лист1!F22)),Лист1!$D22,0)</f>
        <v>0</v>
      </c>
      <c r="C21">
        <f>IF(NOT(ISBLANK(Лист1!G22)),Лист1!$D22,0)</f>
        <v>0</v>
      </c>
      <c r="D21">
        <f>IF(NOT(ISBLANK(Лист1!H22)),Лист1!$D22,0)</f>
        <v>0</v>
      </c>
      <c r="E21">
        <f>IF(NOT(ISBLANK(Лист1!I22)),Лист1!$D22,0)</f>
        <v>0</v>
      </c>
      <c r="F21">
        <f>IF(NOT(ISBLANK(Лист1!J22)),Лист1!$D22,0)</f>
        <v>0</v>
      </c>
      <c r="G21">
        <f>IF(NOT(ISBLANK(Лист1!K22)),Лист1!$D22,0)</f>
        <v>0</v>
      </c>
      <c r="H21">
        <f>IF(NOT(ISBLANK(Лист1!L22)),Лист1!$D22,0)</f>
        <v>0</v>
      </c>
      <c r="I21">
        <f>IF(NOT(ISBLANK(Лист1!M22)),Лист1!$D22,0)</f>
        <v>0</v>
      </c>
      <c r="J21">
        <f>IF(NOT(ISBLANK(Лист1!N22)),Лист1!$D22,0)</f>
        <v>0</v>
      </c>
      <c r="K21">
        <f>IF(NOT(ISBLANK(Лист1!O22)),Лист1!$D22,0)</f>
        <v>0</v>
      </c>
      <c r="L21">
        <f>IF(NOT(ISBLANK(Лист1!P22)),Лист1!$D22,0)</f>
        <v>0</v>
      </c>
    </row>
    <row r="22" spans="1:12" x14ac:dyDescent="0.25">
      <c r="A22">
        <f>IF(NOT(ISBLANK(Лист1!E23)),Лист1!$D23,0)</f>
        <v>0</v>
      </c>
      <c r="B22">
        <f>IF(NOT(ISBLANK(Лист1!F23)),Лист1!$D23,0)</f>
        <v>0</v>
      </c>
      <c r="C22">
        <f>IF(NOT(ISBLANK(Лист1!G23)),Лист1!$D23,0)</f>
        <v>0</v>
      </c>
      <c r="D22">
        <f>IF(NOT(ISBLANK(Лист1!H23)),Лист1!$D23,0)</f>
        <v>0</v>
      </c>
      <c r="E22">
        <f>IF(NOT(ISBLANK(Лист1!I23)),Лист1!$D23,0)</f>
        <v>0</v>
      </c>
      <c r="F22">
        <f>IF(NOT(ISBLANK(Лист1!J23)),Лист1!$D23,0)</f>
        <v>0</v>
      </c>
      <c r="G22">
        <f>IF(NOT(ISBLANK(Лист1!K23)),Лист1!$D23,0)</f>
        <v>0</v>
      </c>
      <c r="H22">
        <f>IF(NOT(ISBLANK(Лист1!L23)),Лист1!$D23,0)</f>
        <v>0</v>
      </c>
      <c r="I22">
        <f>IF(NOT(ISBLANK(Лист1!M23)),Лист1!$D23,0)</f>
        <v>0</v>
      </c>
      <c r="J22">
        <f>IF(NOT(ISBLANK(Лист1!N23)),Лист1!$D23,0)</f>
        <v>0</v>
      </c>
      <c r="K22">
        <f>IF(NOT(ISBLANK(Лист1!O23)),Лист1!$D23,0)</f>
        <v>0</v>
      </c>
      <c r="L22">
        <f>IF(NOT(ISBLANK(Лист1!P23)),Лист1!$D23,0)</f>
        <v>0</v>
      </c>
    </row>
    <row r="23" spans="1:12" x14ac:dyDescent="0.25">
      <c r="A23">
        <f>IF(NOT(ISBLANK(Лист1!E24)),Лист1!$D24,0)</f>
        <v>3.23</v>
      </c>
      <c r="B23">
        <f>IF(NOT(ISBLANK(Лист1!F24)),Лист1!$D24,0)</f>
        <v>3.23</v>
      </c>
      <c r="C23">
        <f>IF(NOT(ISBLANK(Лист1!G24)),Лист1!$D24,0)</f>
        <v>3.23</v>
      </c>
      <c r="D23">
        <f>IF(NOT(ISBLANK(Лист1!H24)),Лист1!$D24,0)</f>
        <v>3.23</v>
      </c>
      <c r="E23">
        <f>IF(NOT(ISBLANK(Лист1!I24)),Лист1!$D24,0)</f>
        <v>3.23</v>
      </c>
      <c r="F23">
        <f>IF(NOT(ISBLANK(Лист1!J24)),Лист1!$D24,0)</f>
        <v>3.23</v>
      </c>
      <c r="G23">
        <f>IF(NOT(ISBLANK(Лист1!K24)),Лист1!$D24,0)</f>
        <v>3.23</v>
      </c>
      <c r="H23">
        <f>IF(NOT(ISBLANK(Лист1!L24)),Лист1!$D24,0)</f>
        <v>3.23</v>
      </c>
      <c r="I23">
        <f>IF(NOT(ISBLANK(Лист1!M24)),Лист1!$D24,0)</f>
        <v>3.23</v>
      </c>
      <c r="J23">
        <f>IF(NOT(ISBLANK(Лист1!N24)),Лист1!$D24,0)</f>
        <v>3.23</v>
      </c>
      <c r="K23">
        <f>IF(NOT(ISBLANK(Лист1!O24)),Лист1!$D24,0)</f>
        <v>3.23</v>
      </c>
      <c r="L23">
        <f>IF(NOT(ISBLANK(Лист1!P24)),Лист1!$D24,0)</f>
        <v>3.23</v>
      </c>
    </row>
    <row r="24" spans="1:12" x14ac:dyDescent="0.25">
      <c r="A24">
        <f>IF(NOT(ISBLANK(Лист1!E25)),Лист1!$D25,0)</f>
        <v>0</v>
      </c>
      <c r="B24">
        <f>IF(NOT(ISBLANK(Лист1!F25)),Лист1!$D25,0)</f>
        <v>0</v>
      </c>
      <c r="C24">
        <f>IF(NOT(ISBLANK(Лист1!G25)),Лист1!$D25,0)</f>
        <v>0</v>
      </c>
      <c r="D24">
        <f>IF(NOT(ISBLANK(Лист1!H25)),Лист1!$D25,0)</f>
        <v>0</v>
      </c>
      <c r="E24">
        <f>IF(NOT(ISBLANK(Лист1!I25)),Лист1!$D25,0)</f>
        <v>0</v>
      </c>
      <c r="F24">
        <f>IF(NOT(ISBLANK(Лист1!J25)),Лист1!$D25,0)</f>
        <v>0</v>
      </c>
      <c r="G24">
        <f>IF(NOT(ISBLANK(Лист1!K25)),Лист1!$D25,0)</f>
        <v>0</v>
      </c>
      <c r="H24">
        <f>IF(NOT(ISBLANK(Лист1!L25)),Лист1!$D25,0)</f>
        <v>0</v>
      </c>
      <c r="I24">
        <f>IF(NOT(ISBLANK(Лист1!M25)),Лист1!$D25,0)</f>
        <v>0</v>
      </c>
      <c r="J24">
        <f>IF(NOT(ISBLANK(Лист1!N25)),Лист1!$D25,0)</f>
        <v>0</v>
      </c>
      <c r="K24">
        <f>IF(NOT(ISBLANK(Лист1!O25)),Лист1!$D25,0)</f>
        <v>0</v>
      </c>
      <c r="L24">
        <f>IF(NOT(ISBLANK(Лист1!P25)),Лист1!$D25,0)</f>
        <v>0</v>
      </c>
    </row>
    <row r="25" spans="1:12" x14ac:dyDescent="0.25">
      <c r="A25">
        <f>IF(NOT(ISBLANK(Лист1!E26)),Лист1!$D26,0)</f>
        <v>0</v>
      </c>
      <c r="B25">
        <f>IF(NOT(ISBLANK(Лист1!F26)),Лист1!$D26,0)</f>
        <v>0</v>
      </c>
      <c r="C25">
        <f>IF(NOT(ISBLANK(Лист1!G26)),Лист1!$D26,0)</f>
        <v>0</v>
      </c>
      <c r="D25">
        <f>IF(NOT(ISBLANK(Лист1!H26)),Лист1!$D26,0)</f>
        <v>0</v>
      </c>
      <c r="E25">
        <f>IF(NOT(ISBLANK(Лист1!I26)),Лист1!$D26,0)</f>
        <v>0</v>
      </c>
      <c r="F25">
        <f>IF(NOT(ISBLANK(Лист1!J26)),Лист1!$D26,0)</f>
        <v>0</v>
      </c>
      <c r="G25">
        <f>IF(NOT(ISBLANK(Лист1!K26)),Лист1!$D26,0)</f>
        <v>0</v>
      </c>
      <c r="H25">
        <f>IF(NOT(ISBLANK(Лист1!L26)),Лист1!$D26,0)</f>
        <v>0</v>
      </c>
      <c r="I25">
        <f>IF(NOT(ISBLANK(Лист1!M26)),Лист1!$D26,0)</f>
        <v>0</v>
      </c>
      <c r="J25">
        <f>IF(NOT(ISBLANK(Лист1!N26)),Лист1!$D26,0)</f>
        <v>0</v>
      </c>
      <c r="K25">
        <f>IF(NOT(ISBLANK(Лист1!O26)),Лист1!$D26,0)</f>
        <v>0</v>
      </c>
      <c r="L25">
        <f>IF(NOT(ISBLANK(Лист1!P26)),Лист1!$D26,0)</f>
        <v>0</v>
      </c>
    </row>
    <row r="26" spans="1:12" x14ac:dyDescent="0.25">
      <c r="A26">
        <f>IF(NOT(ISBLANK(Лист1!E27)),Лист1!$D27,0)</f>
        <v>0</v>
      </c>
      <c r="B26">
        <f>IF(NOT(ISBLANK(Лист1!F27)),Лист1!$D27,0)</f>
        <v>0</v>
      </c>
      <c r="C26">
        <f>IF(NOT(ISBLANK(Лист1!G27)),Лист1!$D27,0)</f>
        <v>0</v>
      </c>
      <c r="D26">
        <f>IF(NOT(ISBLANK(Лист1!H27)),Лист1!$D27,0)</f>
        <v>0</v>
      </c>
      <c r="E26">
        <f>IF(NOT(ISBLANK(Лист1!I27)),Лист1!$D27,0)</f>
        <v>0</v>
      </c>
      <c r="F26">
        <f>IF(NOT(ISBLANK(Лист1!J27)),Лист1!$D27,0)</f>
        <v>0</v>
      </c>
      <c r="G26">
        <f>IF(NOT(ISBLANK(Лист1!K27)),Лист1!$D27,0)</f>
        <v>0</v>
      </c>
      <c r="H26">
        <f>IF(NOT(ISBLANK(Лист1!L27)),Лист1!$D27,0)</f>
        <v>0</v>
      </c>
      <c r="I26">
        <f>IF(NOT(ISBLANK(Лист1!M27)),Лист1!$D27,0)</f>
        <v>0</v>
      </c>
      <c r="J26">
        <f>IF(NOT(ISBLANK(Лист1!N27)),Лист1!$D27,0)</f>
        <v>0</v>
      </c>
      <c r="K26">
        <f>IF(NOT(ISBLANK(Лист1!O27)),Лист1!$D27,0)</f>
        <v>0</v>
      </c>
      <c r="L26">
        <f>IF(NOT(ISBLANK(Лист1!P27)),Лист1!$D27,0)</f>
        <v>0</v>
      </c>
    </row>
    <row r="27" spans="1:12" x14ac:dyDescent="0.25">
      <c r="A27">
        <f>IF(NOT(ISBLANK(Лист1!E28)),Лист1!$D28,0)</f>
        <v>2.14</v>
      </c>
      <c r="B27">
        <f>IF(NOT(ISBLANK(Лист1!F28)),Лист1!$D28,0)</f>
        <v>2.14</v>
      </c>
      <c r="C27">
        <f>IF(NOT(ISBLANK(Лист1!G28)),Лист1!$D28,0)</f>
        <v>2.14</v>
      </c>
      <c r="D27">
        <f>IF(NOT(ISBLANK(Лист1!H28)),Лист1!$D28,0)</f>
        <v>2.14</v>
      </c>
      <c r="E27">
        <f>IF(NOT(ISBLANK(Лист1!I28)),Лист1!$D28,0)</f>
        <v>2.14</v>
      </c>
      <c r="F27">
        <f>IF(NOT(ISBLANK(Лист1!J28)),Лист1!$D28,0)</f>
        <v>2.14</v>
      </c>
      <c r="G27">
        <f>IF(NOT(ISBLANK(Лист1!K28)),Лист1!$D28,0)</f>
        <v>2.14</v>
      </c>
      <c r="H27">
        <f>IF(NOT(ISBLANK(Лист1!L28)),Лист1!$D28,0)</f>
        <v>2.14</v>
      </c>
      <c r="I27">
        <f>IF(NOT(ISBLANK(Лист1!M28)),Лист1!$D28,0)</f>
        <v>2.14</v>
      </c>
      <c r="J27">
        <f>IF(NOT(ISBLANK(Лист1!N28)),Лист1!$D28,0)</f>
        <v>2.14</v>
      </c>
      <c r="K27">
        <f>IF(NOT(ISBLANK(Лист1!O28)),Лист1!$D28,0)</f>
        <v>2.14</v>
      </c>
      <c r="L27">
        <f>IF(NOT(ISBLANK(Лист1!P28)),Лист1!$D28,0)</f>
        <v>2.14</v>
      </c>
    </row>
    <row r="28" spans="1:12" x14ac:dyDescent="0.25">
      <c r="A28">
        <f>IF(NOT(ISBLANK(Лист1!E29)),Лист1!$D29,0)</f>
        <v>1.34</v>
      </c>
      <c r="B28">
        <f>IF(NOT(ISBLANK(Лист1!F29)),Лист1!$D29,0)</f>
        <v>1.34</v>
      </c>
      <c r="C28">
        <f>IF(NOT(ISBLANK(Лист1!G29)),Лист1!$D29,0)</f>
        <v>1.34</v>
      </c>
      <c r="D28">
        <f>IF(NOT(ISBLANK(Лист1!H29)),Лист1!$D29,0)</f>
        <v>1.34</v>
      </c>
      <c r="E28">
        <f>IF(NOT(ISBLANK(Лист1!I29)),Лист1!$D29,0)</f>
        <v>1.34</v>
      </c>
      <c r="F28">
        <f>IF(NOT(ISBLANK(Лист1!J29)),Лист1!$D29,0)</f>
        <v>1.34</v>
      </c>
      <c r="G28">
        <f>IF(NOT(ISBLANK(Лист1!K29)),Лист1!$D29,0)</f>
        <v>1.34</v>
      </c>
      <c r="H28">
        <f>IF(NOT(ISBLANK(Лист1!L29)),Лист1!$D29,0)</f>
        <v>1.34</v>
      </c>
      <c r="I28">
        <f>IF(NOT(ISBLANK(Лист1!M29)),Лист1!$D29,0)</f>
        <v>1.34</v>
      </c>
      <c r="J28">
        <f>IF(NOT(ISBLANK(Лист1!N29)),Лист1!$D29,0)</f>
        <v>1.34</v>
      </c>
      <c r="K28">
        <f>IF(NOT(ISBLANK(Лист1!O29)),Лист1!$D29,0)</f>
        <v>1.34</v>
      </c>
      <c r="L28">
        <f>IF(NOT(ISBLANK(Лист1!P29)),Лист1!$D29,0)</f>
        <v>1.34</v>
      </c>
    </row>
    <row r="29" spans="1:12" x14ac:dyDescent="0.25">
      <c r="A29">
        <f>IF(NOT(ISBLANK(Лист1!E30)),Лист1!$D30,0)</f>
        <v>1.34</v>
      </c>
      <c r="B29">
        <f>IF(NOT(ISBLANK(Лист1!F30)),Лист1!$D30,0)</f>
        <v>1.34</v>
      </c>
      <c r="C29">
        <f>IF(NOT(ISBLANK(Лист1!G30)),Лист1!$D30,0)</f>
        <v>1.34</v>
      </c>
      <c r="D29">
        <f>IF(NOT(ISBLANK(Лист1!H30)),Лист1!$D30,0)</f>
        <v>1.34</v>
      </c>
      <c r="E29">
        <f>IF(NOT(ISBLANK(Лист1!I30)),Лист1!$D30,0)</f>
        <v>1.34</v>
      </c>
      <c r="F29">
        <f>IF(NOT(ISBLANK(Лист1!J30)),Лист1!$D30,0)</f>
        <v>1.34</v>
      </c>
      <c r="G29">
        <f>IF(NOT(ISBLANK(Лист1!K30)),Лист1!$D30,0)</f>
        <v>1.34</v>
      </c>
      <c r="H29">
        <f>IF(NOT(ISBLANK(Лист1!L30)),Лист1!$D30,0)</f>
        <v>1.34</v>
      </c>
      <c r="I29">
        <f>IF(NOT(ISBLANK(Лист1!M30)),Лист1!$D30,0)</f>
        <v>1.34</v>
      </c>
      <c r="J29">
        <f>IF(NOT(ISBLANK(Лист1!N30)),Лист1!$D30,0)</f>
        <v>1.34</v>
      </c>
      <c r="K29">
        <f>IF(NOT(ISBLANK(Лист1!O30)),Лист1!$D30,0)</f>
        <v>1.34</v>
      </c>
      <c r="L29">
        <f>IF(NOT(ISBLANK(Лист1!P30)),Лист1!$D30,0)</f>
        <v>1.34</v>
      </c>
    </row>
    <row r="30" spans="1:12" x14ac:dyDescent="0.25">
      <c r="A30">
        <f>IF(NOT(ISBLANK(Лист1!E31)),Лист1!$D31,0)</f>
        <v>0</v>
      </c>
      <c r="B30">
        <f>IF(NOT(ISBLANK(Лист1!F31)),Лист1!$D31,0)</f>
        <v>0</v>
      </c>
      <c r="C30">
        <f>IF(NOT(ISBLANK(Лист1!G31)),Лист1!$D31,0)</f>
        <v>0</v>
      </c>
      <c r="D30">
        <f>IF(NOT(ISBLANK(Лист1!H31)),Лист1!$D31,0)</f>
        <v>0</v>
      </c>
      <c r="E30">
        <f>IF(NOT(ISBLANK(Лист1!I31)),Лист1!$D31,0)</f>
        <v>0</v>
      </c>
      <c r="F30">
        <f>IF(NOT(ISBLANK(Лист1!J31)),Лист1!$D31,0)</f>
        <v>0</v>
      </c>
      <c r="G30">
        <f>IF(NOT(ISBLANK(Лист1!K31)),Лист1!$D31,0)</f>
        <v>0</v>
      </c>
      <c r="H30">
        <f>IF(NOT(ISBLANK(Лист1!L31)),Лист1!$D31,0)</f>
        <v>0</v>
      </c>
      <c r="I30">
        <f>IF(NOT(ISBLANK(Лист1!M31)),Лист1!$D31,0)</f>
        <v>0</v>
      </c>
      <c r="J30">
        <f>IF(NOT(ISBLANK(Лист1!N31)),Лист1!$D31,0)</f>
        <v>0</v>
      </c>
      <c r="K30">
        <f>IF(NOT(ISBLANK(Лист1!O31)),Лист1!$D31,0)</f>
        <v>0</v>
      </c>
      <c r="L30">
        <f>IF(NOT(ISBLANK(Лист1!P31)),Лист1!$D31,0)</f>
        <v>0</v>
      </c>
    </row>
    <row r="31" spans="1:12" x14ac:dyDescent="0.25">
      <c r="A31">
        <f>IF(NOT(ISBLANK(Лист1!E32)),Лист1!$D32,0)</f>
        <v>0</v>
      </c>
      <c r="B31">
        <f>IF(NOT(ISBLANK(Лист1!F32)),Лист1!$D32,0)</f>
        <v>0</v>
      </c>
      <c r="C31">
        <f>IF(NOT(ISBLANK(Лист1!G32)),Лист1!$D32,0)</f>
        <v>0</v>
      </c>
      <c r="D31">
        <f>IF(NOT(ISBLANK(Лист1!H32)),Лист1!$D32,0)</f>
        <v>0</v>
      </c>
      <c r="E31">
        <f>IF(NOT(ISBLANK(Лист1!I32)),Лист1!$D32,0)</f>
        <v>0</v>
      </c>
      <c r="F31">
        <f>IF(NOT(ISBLANK(Лист1!J32)),Лист1!$D32,0)</f>
        <v>0</v>
      </c>
      <c r="G31">
        <f>IF(NOT(ISBLANK(Лист1!K32)),Лист1!$D32,0)</f>
        <v>0</v>
      </c>
      <c r="H31">
        <f>IF(NOT(ISBLANK(Лист1!L32)),Лист1!$D32,0)</f>
        <v>0</v>
      </c>
      <c r="I31">
        <f>IF(NOT(ISBLANK(Лист1!M32)),Лист1!$D32,0)</f>
        <v>0</v>
      </c>
      <c r="J31">
        <f>IF(NOT(ISBLANK(Лист1!N32)),Лист1!$D32,0)</f>
        <v>0</v>
      </c>
      <c r="K31">
        <f>IF(NOT(ISBLANK(Лист1!O32)),Лист1!$D32,0)</f>
        <v>0</v>
      </c>
      <c r="L31">
        <f>IF(NOT(ISBLANK(Лист1!P32)),Лист1!$D32,0)</f>
        <v>0</v>
      </c>
    </row>
    <row r="32" spans="1:12" x14ac:dyDescent="0.25">
      <c r="A32">
        <f>IF(NOT(ISBLANK(Лист1!E33)),Лист1!$D33,0)</f>
        <v>0</v>
      </c>
      <c r="B32">
        <f>IF(NOT(ISBLANK(Лист1!F33)),Лист1!$D33,0)</f>
        <v>0</v>
      </c>
      <c r="C32">
        <f>IF(NOT(ISBLANK(Лист1!G33)),Лист1!$D33,0)</f>
        <v>0</v>
      </c>
      <c r="D32">
        <f>IF(NOT(ISBLANK(Лист1!H33)),Лист1!$D33,0)</f>
        <v>0</v>
      </c>
      <c r="E32">
        <f>IF(NOT(ISBLANK(Лист1!I33)),Лист1!$D33,0)</f>
        <v>0</v>
      </c>
      <c r="F32">
        <f>IF(NOT(ISBLANK(Лист1!J33)),Лист1!$D33,0)</f>
        <v>0</v>
      </c>
      <c r="G32">
        <f>IF(NOT(ISBLANK(Лист1!K33)),Лист1!$D33,0)</f>
        <v>0</v>
      </c>
      <c r="H32">
        <f>IF(NOT(ISBLANK(Лист1!L33)),Лист1!$D33,0)</f>
        <v>0</v>
      </c>
      <c r="I32">
        <f>IF(NOT(ISBLANK(Лист1!M33)),Лист1!$D33,0)</f>
        <v>0</v>
      </c>
      <c r="J32">
        <f>IF(NOT(ISBLANK(Лист1!N33)),Лист1!$D33,0)</f>
        <v>0</v>
      </c>
      <c r="K32">
        <f>IF(NOT(ISBLANK(Лист1!O33)),Лист1!$D33,0)</f>
        <v>0</v>
      </c>
      <c r="L32">
        <f>IF(NOT(ISBLANK(Лист1!P33)),Лист1!$D33,0)</f>
        <v>0</v>
      </c>
    </row>
    <row r="33" spans="1:12" x14ac:dyDescent="0.25">
      <c r="A33">
        <f>IF(NOT(ISBLANK(Лист1!E34)),Лист1!$D34,0)</f>
        <v>0</v>
      </c>
      <c r="B33">
        <f>IF(NOT(ISBLANK(Лист1!F34)),Лист1!$D34,0)</f>
        <v>0</v>
      </c>
      <c r="C33">
        <f>IF(NOT(ISBLANK(Лист1!G34)),Лист1!$D34,0)</f>
        <v>0</v>
      </c>
      <c r="D33">
        <f>IF(NOT(ISBLANK(Лист1!H34)),Лист1!$D34,0)</f>
        <v>0</v>
      </c>
      <c r="E33">
        <f>IF(NOT(ISBLANK(Лист1!I34)),Лист1!$D34,0)</f>
        <v>0</v>
      </c>
      <c r="F33">
        <f>IF(NOT(ISBLANK(Лист1!J34)),Лист1!$D34,0)</f>
        <v>0</v>
      </c>
      <c r="G33">
        <f>IF(NOT(ISBLANK(Лист1!K34)),Лист1!$D34,0)</f>
        <v>0</v>
      </c>
      <c r="H33">
        <f>IF(NOT(ISBLANK(Лист1!L34)),Лист1!$D34,0)</f>
        <v>0</v>
      </c>
      <c r="I33">
        <f>IF(NOT(ISBLANK(Лист1!M34)),Лист1!$D34,0)</f>
        <v>0</v>
      </c>
      <c r="J33">
        <f>IF(NOT(ISBLANK(Лист1!N34)),Лист1!$D34,0)</f>
        <v>0</v>
      </c>
      <c r="K33">
        <f>IF(NOT(ISBLANK(Лист1!O34)),Лист1!$D34,0)</f>
        <v>0</v>
      </c>
      <c r="L33">
        <f>IF(NOT(ISBLANK(Лист1!P34)),Лист1!$D34,0)</f>
        <v>0</v>
      </c>
    </row>
    <row r="34" spans="1:12" x14ac:dyDescent="0.25">
      <c r="A34">
        <f>IF(NOT(ISBLANK(Лист1!E35)),Лист1!$D35,0)</f>
        <v>0</v>
      </c>
      <c r="B34">
        <f>IF(NOT(ISBLANK(Лист1!F35)),Лист1!$D35,0)</f>
        <v>0</v>
      </c>
      <c r="C34">
        <f>IF(NOT(ISBLANK(Лист1!G35)),Лист1!$D35,0)</f>
        <v>0</v>
      </c>
      <c r="D34">
        <f>IF(NOT(ISBLANK(Лист1!H35)),Лист1!$D35,0)</f>
        <v>0</v>
      </c>
      <c r="E34">
        <f>IF(NOT(ISBLANK(Лист1!I35)),Лист1!$D35,0)</f>
        <v>0</v>
      </c>
      <c r="F34">
        <f>IF(NOT(ISBLANK(Лист1!J35)),Лист1!$D35,0)</f>
        <v>0</v>
      </c>
      <c r="G34">
        <f>IF(NOT(ISBLANK(Лист1!K35)),Лист1!$D35,0)</f>
        <v>0</v>
      </c>
      <c r="H34">
        <f>IF(NOT(ISBLANK(Лист1!L35)),Лист1!$D35,0)</f>
        <v>0</v>
      </c>
      <c r="I34">
        <f>IF(NOT(ISBLANK(Лист1!M35)),Лист1!$D35,0)</f>
        <v>0</v>
      </c>
      <c r="J34">
        <f>IF(NOT(ISBLANK(Лист1!N35)),Лист1!$D35,0)</f>
        <v>0</v>
      </c>
      <c r="K34">
        <f>IF(NOT(ISBLANK(Лист1!O35)),Лист1!$D35,0)</f>
        <v>0</v>
      </c>
      <c r="L34">
        <f>IF(NOT(ISBLANK(Лист1!P35)),Лист1!$D35,0)</f>
        <v>0</v>
      </c>
    </row>
    <row r="35" spans="1:12" x14ac:dyDescent="0.25">
      <c r="A35">
        <f>IF(NOT(ISBLANK(Лист1!E36)),Лист1!$D36,0)</f>
        <v>0</v>
      </c>
      <c r="B35">
        <f>IF(NOT(ISBLANK(Лист1!F36)),Лист1!$D36,0)</f>
        <v>0</v>
      </c>
      <c r="C35">
        <f>IF(NOT(ISBLANK(Лист1!G36)),Лист1!$D36,0)</f>
        <v>0</v>
      </c>
      <c r="D35">
        <f>IF(NOT(ISBLANK(Лист1!H36)),Лист1!$D36,0)</f>
        <v>0</v>
      </c>
      <c r="E35">
        <f>IF(NOT(ISBLANK(Лист1!I36)),Лист1!$D36,0)</f>
        <v>0</v>
      </c>
      <c r="F35">
        <f>IF(NOT(ISBLANK(Лист1!J36)),Лист1!$D36,0)</f>
        <v>0</v>
      </c>
      <c r="G35">
        <f>IF(NOT(ISBLANK(Лист1!K36)),Лист1!$D36,0)</f>
        <v>0</v>
      </c>
      <c r="H35">
        <f>IF(NOT(ISBLANK(Лист1!L36)),Лист1!$D36,0)</f>
        <v>0</v>
      </c>
      <c r="I35">
        <f>IF(NOT(ISBLANK(Лист1!M36)),Лист1!$D36,0)</f>
        <v>0</v>
      </c>
      <c r="J35">
        <f>IF(NOT(ISBLANK(Лист1!N36)),Лист1!$D36,0)</f>
        <v>0</v>
      </c>
      <c r="K35">
        <f>IF(NOT(ISBLANK(Лист1!O36)),Лист1!$D36,0)</f>
        <v>0</v>
      </c>
      <c r="L35">
        <f>IF(NOT(ISBLANK(Лист1!P36)),Лист1!$D36,0)</f>
        <v>0</v>
      </c>
    </row>
    <row r="36" spans="1:12" x14ac:dyDescent="0.25">
      <c r="A36">
        <f>IF(NOT(ISBLANK(Лист1!E37)),Лист1!$D37,0)</f>
        <v>0</v>
      </c>
      <c r="B36">
        <f>IF(NOT(ISBLANK(Лист1!F37)),Лист1!$D37,0)</f>
        <v>0</v>
      </c>
      <c r="C36">
        <f>IF(NOT(ISBLANK(Лист1!G37)),Лист1!$D37,0)</f>
        <v>0</v>
      </c>
      <c r="D36">
        <f>IF(NOT(ISBLANK(Лист1!H37)),Лист1!$D37,0)</f>
        <v>0</v>
      </c>
      <c r="E36">
        <f>IF(NOT(ISBLANK(Лист1!I37)),Лист1!$D37,0)</f>
        <v>0</v>
      </c>
      <c r="F36">
        <f>IF(NOT(ISBLANK(Лист1!J37)),Лист1!$D37,0)</f>
        <v>0</v>
      </c>
      <c r="G36">
        <f>IF(NOT(ISBLANK(Лист1!K37)),Лист1!$D37,0)</f>
        <v>0</v>
      </c>
      <c r="H36">
        <f>IF(NOT(ISBLANK(Лист1!L37)),Лист1!$D37,0)</f>
        <v>0</v>
      </c>
      <c r="I36">
        <f>IF(NOT(ISBLANK(Лист1!M37)),Лист1!$D37,0)</f>
        <v>0</v>
      </c>
      <c r="J36">
        <f>IF(NOT(ISBLANK(Лист1!N37)),Лист1!$D37,0)</f>
        <v>0</v>
      </c>
      <c r="K36">
        <f>IF(NOT(ISBLANK(Лист1!O37)),Лист1!$D37,0)</f>
        <v>0</v>
      </c>
      <c r="L36">
        <f>IF(NOT(ISBLANK(Лист1!P37)),Лист1!$D37,0)</f>
        <v>0</v>
      </c>
    </row>
    <row r="37" spans="1:12" x14ac:dyDescent="0.25">
      <c r="A37">
        <f>IF(NOT(ISBLANK(Лист1!E38)),Лист1!$D38,0)</f>
        <v>1.34</v>
      </c>
      <c r="B37">
        <f>IF(NOT(ISBLANK(Лист1!F38)),Лист1!$D38,0)</f>
        <v>1.34</v>
      </c>
      <c r="C37">
        <f>IF(NOT(ISBLANK(Лист1!G38)),Лист1!$D38,0)</f>
        <v>1.34</v>
      </c>
      <c r="D37">
        <f>IF(NOT(ISBLANK(Лист1!H38)),Лист1!$D38,0)</f>
        <v>1.34</v>
      </c>
      <c r="E37">
        <f>IF(NOT(ISBLANK(Лист1!I38)),Лист1!$D38,0)</f>
        <v>1.34</v>
      </c>
      <c r="F37">
        <f>IF(NOT(ISBLANK(Лист1!J38)),Лист1!$D38,0)</f>
        <v>1.34</v>
      </c>
      <c r="G37">
        <f>IF(NOT(ISBLANK(Лист1!K38)),Лист1!$D38,0)</f>
        <v>1.34</v>
      </c>
      <c r="H37">
        <f>IF(NOT(ISBLANK(Лист1!L38)),Лист1!$D38,0)</f>
        <v>1.34</v>
      </c>
      <c r="I37">
        <f>IF(NOT(ISBLANK(Лист1!M38)),Лист1!$D38,0)</f>
        <v>1.34</v>
      </c>
      <c r="J37">
        <f>IF(NOT(ISBLANK(Лист1!N38)),Лист1!$D38,0)</f>
        <v>1.34</v>
      </c>
      <c r="K37">
        <f>IF(NOT(ISBLANK(Лист1!O38)),Лист1!$D38,0)</f>
        <v>1.34</v>
      </c>
      <c r="L37">
        <f>IF(NOT(ISBLANK(Лист1!P38)),Лист1!$D38,0)</f>
        <v>1.34</v>
      </c>
    </row>
    <row r="38" spans="1:12" x14ac:dyDescent="0.25">
      <c r="A38">
        <f>IF(NOT(ISBLANK(Лист1!E39)),Лист1!$D39,0)</f>
        <v>1.34</v>
      </c>
      <c r="B38">
        <f>IF(NOT(ISBLANK(Лист1!F39)),Лист1!$D39,0)</f>
        <v>1.34</v>
      </c>
      <c r="C38">
        <f>IF(NOT(ISBLANK(Лист1!G39)),Лист1!$D39,0)</f>
        <v>1.34</v>
      </c>
      <c r="D38">
        <f>IF(NOT(ISBLANK(Лист1!H39)),Лист1!$D39,0)</f>
        <v>1.34</v>
      </c>
      <c r="E38">
        <f>IF(NOT(ISBLANK(Лист1!I39)),Лист1!$D39,0)</f>
        <v>1.34</v>
      </c>
      <c r="F38">
        <f>IF(NOT(ISBLANK(Лист1!J39)),Лист1!$D39,0)</f>
        <v>1.34</v>
      </c>
      <c r="G38">
        <f>IF(NOT(ISBLANK(Лист1!K39)),Лист1!$D39,0)</f>
        <v>1.34</v>
      </c>
      <c r="H38">
        <f>IF(NOT(ISBLANK(Лист1!L39)),Лист1!$D39,0)</f>
        <v>1.34</v>
      </c>
      <c r="I38">
        <f>IF(NOT(ISBLANK(Лист1!M39)),Лист1!$D39,0)</f>
        <v>1.34</v>
      </c>
      <c r="J38">
        <f>IF(NOT(ISBLANK(Лист1!N39)),Лист1!$D39,0)</f>
        <v>1.34</v>
      </c>
      <c r="K38">
        <f>IF(NOT(ISBLANK(Лист1!O39)),Лист1!$D39,0)</f>
        <v>1.34</v>
      </c>
      <c r="L38">
        <f>IF(NOT(ISBLANK(Лист1!P39)),Лист1!$D39,0)</f>
        <v>1.34</v>
      </c>
    </row>
    <row r="39" spans="1:12" x14ac:dyDescent="0.25">
      <c r="A39">
        <f>IF(NOT(ISBLANK(Лист1!E40)),Лист1!$D40,0)</f>
        <v>0</v>
      </c>
      <c r="B39">
        <f>IF(NOT(ISBLANK(Лист1!F40)),Лист1!$D40,0)</f>
        <v>0</v>
      </c>
      <c r="C39">
        <f>IF(NOT(ISBLANK(Лист1!G40)),Лист1!$D40,0)</f>
        <v>0</v>
      </c>
      <c r="D39">
        <f>IF(NOT(ISBLANK(Лист1!H40)),Лист1!$D40,0)</f>
        <v>0</v>
      </c>
      <c r="E39">
        <f>IF(NOT(ISBLANK(Лист1!I40)),Лист1!$D40,0)</f>
        <v>0</v>
      </c>
      <c r="F39">
        <f>IF(NOT(ISBLANK(Лист1!J40)),Лист1!$D40,0)</f>
        <v>0</v>
      </c>
      <c r="G39">
        <f>IF(NOT(ISBLANK(Лист1!K40)),Лист1!$D40,0)</f>
        <v>0</v>
      </c>
      <c r="H39">
        <f>IF(NOT(ISBLANK(Лист1!L40)),Лист1!$D40,0)</f>
        <v>0</v>
      </c>
      <c r="I39">
        <f>IF(NOT(ISBLANK(Лист1!M40)),Лист1!$D40,0)</f>
        <v>0</v>
      </c>
      <c r="J39">
        <f>IF(NOT(ISBLANK(Лист1!N40)),Лист1!$D40,0)</f>
        <v>0</v>
      </c>
      <c r="K39">
        <f>IF(NOT(ISBLANK(Лист1!O40)),Лист1!$D40,0)</f>
        <v>0</v>
      </c>
      <c r="L39">
        <f>IF(NOT(ISBLANK(Лист1!P40)),Лист1!$D40,0)</f>
        <v>0</v>
      </c>
    </row>
    <row r="40" spans="1:12" x14ac:dyDescent="0.25">
      <c r="A40">
        <f>IF(NOT(ISBLANK(Лист1!E41)),Лист1!$D41,0)</f>
        <v>0</v>
      </c>
      <c r="B40">
        <f>IF(NOT(ISBLANK(Лист1!F41)),Лист1!$D41,0)</f>
        <v>0</v>
      </c>
      <c r="C40">
        <f>IF(NOT(ISBLANK(Лист1!G41)),Лист1!$D41,0)</f>
        <v>0</v>
      </c>
      <c r="D40">
        <f>IF(NOT(ISBLANK(Лист1!H41)),Лист1!$D41,0)</f>
        <v>0</v>
      </c>
      <c r="E40">
        <f>IF(NOT(ISBLANK(Лист1!I41)),Лист1!$D41,0)</f>
        <v>0</v>
      </c>
      <c r="F40">
        <f>IF(NOT(ISBLANK(Лист1!J41)),Лист1!$D41,0)</f>
        <v>0</v>
      </c>
      <c r="G40">
        <f>IF(NOT(ISBLANK(Лист1!K41)),Лист1!$D41,0)</f>
        <v>0</v>
      </c>
      <c r="H40">
        <f>IF(NOT(ISBLANK(Лист1!L41)),Лист1!$D41,0)</f>
        <v>0</v>
      </c>
      <c r="I40">
        <f>IF(NOT(ISBLANK(Лист1!M41)),Лист1!$D41,0)</f>
        <v>0</v>
      </c>
      <c r="J40">
        <f>IF(NOT(ISBLANK(Лист1!N41)),Лист1!$D41,0)</f>
        <v>0</v>
      </c>
      <c r="K40">
        <f>IF(NOT(ISBLANK(Лист1!O41)),Лист1!$D41,0)</f>
        <v>0</v>
      </c>
      <c r="L40">
        <f>IF(NOT(ISBLANK(Лист1!P41)),Лист1!$D41,0)</f>
        <v>0</v>
      </c>
    </row>
    <row r="41" spans="1:12" x14ac:dyDescent="0.25">
      <c r="A41">
        <f>IF(NOT(ISBLANK(Лист1!E42)),Лист1!$D42,0)</f>
        <v>0</v>
      </c>
      <c r="B41">
        <f>IF(NOT(ISBLANK(Лист1!F42)),Лист1!$D42,0)</f>
        <v>0</v>
      </c>
      <c r="C41">
        <f>IF(NOT(ISBLANK(Лист1!G42)),Лист1!$D42,0)</f>
        <v>0</v>
      </c>
      <c r="D41">
        <f>IF(NOT(ISBLANK(Лист1!H42)),Лист1!$D42,0)</f>
        <v>0</v>
      </c>
      <c r="E41">
        <f>IF(NOT(ISBLANK(Лист1!I42)),Лист1!$D42,0)</f>
        <v>0</v>
      </c>
      <c r="F41">
        <f>IF(NOT(ISBLANK(Лист1!J42)),Лист1!$D42,0)</f>
        <v>0</v>
      </c>
      <c r="G41">
        <f>IF(NOT(ISBLANK(Лист1!K42)),Лист1!$D42,0)</f>
        <v>0</v>
      </c>
      <c r="H41">
        <f>IF(NOT(ISBLANK(Лист1!L42)),Лист1!$D42,0)</f>
        <v>0</v>
      </c>
      <c r="I41">
        <f>IF(NOT(ISBLANK(Лист1!M42)),Лист1!$D42,0)</f>
        <v>0</v>
      </c>
      <c r="J41">
        <f>IF(NOT(ISBLANK(Лист1!N42)),Лист1!$D42,0)</f>
        <v>0</v>
      </c>
      <c r="K41">
        <f>IF(NOT(ISBLANK(Лист1!O42)),Лист1!$D42,0)</f>
        <v>0</v>
      </c>
      <c r="L41">
        <f>IF(NOT(ISBLANK(Лист1!P42)),Лист1!$D42,0)</f>
        <v>0</v>
      </c>
    </row>
    <row r="42" spans="1:12" x14ac:dyDescent="0.25">
      <c r="A42">
        <f>IF(NOT(ISBLANK(Лист1!E43)),Лист1!$D43,0)</f>
        <v>2.0699999999999998</v>
      </c>
      <c r="B42">
        <f>IF(NOT(ISBLANK(Лист1!F43)),Лист1!$D43,0)</f>
        <v>2.0699999999999998</v>
      </c>
      <c r="C42">
        <f>IF(NOT(ISBLANK(Лист1!G43)),Лист1!$D43,0)</f>
        <v>2.0699999999999998</v>
      </c>
      <c r="D42">
        <f>IF(NOT(ISBLANK(Лист1!H43)),Лист1!$D43,0)</f>
        <v>2.0699999999999998</v>
      </c>
      <c r="E42">
        <f>IF(NOT(ISBLANK(Лист1!I43)),Лист1!$D43,0)</f>
        <v>2.0699999999999998</v>
      </c>
      <c r="F42">
        <f>IF(NOT(ISBLANK(Лист1!J43)),Лист1!$D43,0)</f>
        <v>2.0699999999999998</v>
      </c>
      <c r="G42">
        <f>IF(NOT(ISBLANK(Лист1!K43)),Лист1!$D43,0)</f>
        <v>2.0699999999999998</v>
      </c>
      <c r="H42">
        <f>IF(NOT(ISBLANK(Лист1!L43)),Лист1!$D43,0)</f>
        <v>2.0699999999999998</v>
      </c>
      <c r="I42">
        <f>IF(NOT(ISBLANK(Лист1!M43)),Лист1!$D43,0)</f>
        <v>2.0699999999999998</v>
      </c>
      <c r="J42">
        <f>IF(NOT(ISBLANK(Лист1!N43)),Лист1!$D43,0)</f>
        <v>2.0699999999999998</v>
      </c>
      <c r="K42">
        <f>IF(NOT(ISBLANK(Лист1!O43)),Лист1!$D43,0)</f>
        <v>2.0699999999999998</v>
      </c>
      <c r="L42">
        <f>IF(NOT(ISBLANK(Лист1!P43)),Лист1!$D43,0)</f>
        <v>2.0699999999999998</v>
      </c>
    </row>
    <row r="43" spans="1:12" x14ac:dyDescent="0.25">
      <c r="A43">
        <f>IF(NOT(ISBLANK(Лист1!E44)),Лист1!$D44,0)</f>
        <v>2.0499999999999998</v>
      </c>
      <c r="B43">
        <f>IF(NOT(ISBLANK(Лист1!F44)),Лист1!$D44,0)</f>
        <v>2.0499999999999998</v>
      </c>
      <c r="C43">
        <f>IF(NOT(ISBLANK(Лист1!G44)),Лист1!$D44,0)</f>
        <v>2.0499999999999998</v>
      </c>
      <c r="D43">
        <f>IF(NOT(ISBLANK(Лист1!H44)),Лист1!$D44,0)</f>
        <v>2.0499999999999998</v>
      </c>
      <c r="E43">
        <f>IF(NOT(ISBLANK(Лист1!I44)),Лист1!$D44,0)</f>
        <v>2.0499999999999998</v>
      </c>
      <c r="F43">
        <f>IF(NOT(ISBLANK(Лист1!J44)),Лист1!$D44,0)</f>
        <v>2.0499999999999998</v>
      </c>
      <c r="G43">
        <f>IF(NOT(ISBLANK(Лист1!K44)),Лист1!$D44,0)</f>
        <v>2.0499999999999998</v>
      </c>
      <c r="H43">
        <f>IF(NOT(ISBLANK(Лист1!L44)),Лист1!$D44,0)</f>
        <v>2.0499999999999998</v>
      </c>
      <c r="I43">
        <f>IF(NOT(ISBLANK(Лист1!M44)),Лист1!$D44,0)</f>
        <v>2.0499999999999998</v>
      </c>
      <c r="J43">
        <f>IF(NOT(ISBLANK(Лист1!N44)),Лист1!$D44,0)</f>
        <v>2.0499999999999998</v>
      </c>
      <c r="K43">
        <f>IF(NOT(ISBLANK(Лист1!O44)),Лист1!$D44,0)</f>
        <v>2.0499999999999998</v>
      </c>
      <c r="L43">
        <f>IF(NOT(ISBLANK(Лист1!P44)),Лист1!$D44,0)</f>
        <v>2.0499999999999998</v>
      </c>
    </row>
    <row r="44" spans="1:12" x14ac:dyDescent="0.25">
      <c r="A44">
        <f>IF(NOT(ISBLANK(Лист1!E45)),Лист1!$D45,0)</f>
        <v>2.98</v>
      </c>
      <c r="B44">
        <f>IF(NOT(ISBLANK(Лист1!F45)),Лист1!$D45,0)</f>
        <v>2.98</v>
      </c>
      <c r="C44">
        <f>IF(NOT(ISBLANK(Лист1!G45)),Лист1!$D45,0)</f>
        <v>2.98</v>
      </c>
      <c r="D44">
        <f>IF(NOT(ISBLANK(Лист1!H45)),Лист1!$D45,0)</f>
        <v>2.98</v>
      </c>
      <c r="E44">
        <f>IF(NOT(ISBLANK(Лист1!I45)),Лист1!$D45,0)</f>
        <v>2.98</v>
      </c>
      <c r="F44">
        <f>IF(NOT(ISBLANK(Лист1!J45)),Лист1!$D45,0)</f>
        <v>2.98</v>
      </c>
      <c r="G44">
        <f>IF(NOT(ISBLANK(Лист1!K45)),Лист1!$D45,0)</f>
        <v>2.98</v>
      </c>
      <c r="H44">
        <f>IF(NOT(ISBLANK(Лист1!L45)),Лист1!$D45,0)</f>
        <v>2.98</v>
      </c>
      <c r="I44">
        <f>IF(NOT(ISBLANK(Лист1!M45)),Лист1!$D45,0)</f>
        <v>2.98</v>
      </c>
      <c r="J44">
        <f>IF(NOT(ISBLANK(Лист1!N45)),Лист1!$D45,0)</f>
        <v>2.98</v>
      </c>
      <c r="K44">
        <f>IF(NOT(ISBLANK(Лист1!O45)),Лист1!$D45,0)</f>
        <v>2.98</v>
      </c>
      <c r="L44">
        <f>IF(NOT(ISBLANK(Лист1!P45)),Лист1!$D45,0)</f>
        <v>2.98</v>
      </c>
    </row>
    <row r="45" spans="1:12" x14ac:dyDescent="0.25">
      <c r="A45">
        <f>IF(NOT(ISBLANK(Лист1!E46)),Лист1!$D46,0)</f>
        <v>2.93</v>
      </c>
      <c r="B45">
        <f>IF(NOT(ISBLANK(Лист1!F46)),Лист1!$D46,0)</f>
        <v>2.93</v>
      </c>
      <c r="C45">
        <f>IF(NOT(ISBLANK(Лист1!G46)),Лист1!$D46,0)</f>
        <v>2.93</v>
      </c>
      <c r="D45">
        <f>IF(NOT(ISBLANK(Лист1!H46)),Лист1!$D46,0)</f>
        <v>2.93</v>
      </c>
      <c r="E45">
        <f>IF(NOT(ISBLANK(Лист1!I46)),Лист1!$D46,0)</f>
        <v>2.93</v>
      </c>
      <c r="F45">
        <f>IF(NOT(ISBLANK(Лист1!J46)),Лист1!$D46,0)</f>
        <v>2.93</v>
      </c>
      <c r="G45">
        <f>IF(NOT(ISBLANK(Лист1!K46)),Лист1!$D46,0)</f>
        <v>2.93</v>
      </c>
      <c r="H45">
        <f>IF(NOT(ISBLANK(Лист1!L46)),Лист1!$D46,0)</f>
        <v>2.93</v>
      </c>
      <c r="I45">
        <f>IF(NOT(ISBLANK(Лист1!M46)),Лист1!$D46,0)</f>
        <v>2.93</v>
      </c>
      <c r="J45">
        <f>IF(NOT(ISBLANK(Лист1!N46)),Лист1!$D46,0)</f>
        <v>2.93</v>
      </c>
      <c r="K45">
        <f>IF(NOT(ISBLANK(Лист1!O46)),Лист1!$D46,0)</f>
        <v>2.93</v>
      </c>
      <c r="L45">
        <f>IF(NOT(ISBLANK(Лист1!P46)),Лист1!$D46,0)</f>
        <v>2.93</v>
      </c>
    </row>
    <row r="46" spans="1:12" x14ac:dyDescent="0.25">
      <c r="A46">
        <f>IF(NOT(ISBLANK(Лист1!E47)),Лист1!$D47,0)</f>
        <v>2.0299999999999998</v>
      </c>
      <c r="B46">
        <f>IF(NOT(ISBLANK(Лист1!F47)),Лист1!$D47,0)</f>
        <v>2.0299999999999998</v>
      </c>
      <c r="C46">
        <f>IF(NOT(ISBLANK(Лист1!G47)),Лист1!$D47,0)</f>
        <v>2.0299999999999998</v>
      </c>
      <c r="D46">
        <f>IF(NOT(ISBLANK(Лист1!H47)),Лист1!$D47,0)</f>
        <v>2.0299999999999998</v>
      </c>
      <c r="E46">
        <f>IF(NOT(ISBLANK(Лист1!I47)),Лист1!$D47,0)</f>
        <v>2.0299999999999998</v>
      </c>
      <c r="F46">
        <f>IF(NOT(ISBLANK(Лист1!J47)),Лист1!$D47,0)</f>
        <v>2.0299999999999998</v>
      </c>
      <c r="G46">
        <f>IF(NOT(ISBLANK(Лист1!K47)),Лист1!$D47,0)</f>
        <v>2.0299999999999998</v>
      </c>
      <c r="H46">
        <f>IF(NOT(ISBLANK(Лист1!L47)),Лист1!$D47,0)</f>
        <v>2.0299999999999998</v>
      </c>
      <c r="I46">
        <f>IF(NOT(ISBLANK(Лист1!M47)),Лист1!$D47,0)</f>
        <v>2.0299999999999998</v>
      </c>
      <c r="J46">
        <f>IF(NOT(ISBLANK(Лист1!N47)),Лист1!$D47,0)</f>
        <v>2.0299999999999998</v>
      </c>
      <c r="K46">
        <f>IF(NOT(ISBLANK(Лист1!O47)),Лист1!$D47,0)</f>
        <v>2.0299999999999998</v>
      </c>
      <c r="L46">
        <f>IF(NOT(ISBLANK(Лист1!P47)),Лист1!$D47,0)</f>
        <v>2.0299999999999998</v>
      </c>
    </row>
    <row r="47" spans="1:12" x14ac:dyDescent="0.25">
      <c r="A47">
        <f>IF(NOT(ISBLANK(Лист1!E48)),Лист1!$D48,0)</f>
        <v>0</v>
      </c>
      <c r="B47">
        <f>IF(NOT(ISBLANK(Лист1!F48)),Лист1!$D48,0)</f>
        <v>0</v>
      </c>
      <c r="C47">
        <f>IF(NOT(ISBLANK(Лист1!G48)),Лист1!$D48,0)</f>
        <v>0</v>
      </c>
      <c r="D47">
        <f>IF(NOT(ISBLANK(Лист1!H48)),Лист1!$D48,0)</f>
        <v>0</v>
      </c>
      <c r="E47">
        <f>IF(NOT(ISBLANK(Лист1!I48)),Лист1!$D48,0)</f>
        <v>0</v>
      </c>
      <c r="F47">
        <f>IF(NOT(ISBLANK(Лист1!J48)),Лист1!$D48,0)</f>
        <v>0</v>
      </c>
      <c r="G47">
        <f>IF(NOT(ISBLANK(Лист1!K48)),Лист1!$D48,0)</f>
        <v>0</v>
      </c>
      <c r="H47">
        <f>IF(NOT(ISBLANK(Лист1!L48)),Лист1!$D48,0)</f>
        <v>0</v>
      </c>
      <c r="I47">
        <f>IF(NOT(ISBLANK(Лист1!M48)),Лист1!$D48,0)</f>
        <v>0</v>
      </c>
      <c r="J47">
        <f>IF(NOT(ISBLANK(Лист1!N48)),Лист1!$D48,0)</f>
        <v>0</v>
      </c>
      <c r="K47">
        <f>IF(NOT(ISBLANK(Лист1!O48)),Лист1!$D48,0)</f>
        <v>0</v>
      </c>
      <c r="L47">
        <f>IF(NOT(ISBLANK(Лист1!P48)),Лист1!$D48,0)</f>
        <v>0</v>
      </c>
    </row>
    <row r="48" spans="1:12" x14ac:dyDescent="0.25">
      <c r="A48">
        <f>IF(NOT(ISBLANK(Лист1!E49)),Лист1!$D49,0)</f>
        <v>2.95</v>
      </c>
      <c r="B48">
        <f>IF(NOT(ISBLANK(Лист1!F49)),Лист1!$D49,0)</f>
        <v>2.95</v>
      </c>
      <c r="C48">
        <f>IF(NOT(ISBLANK(Лист1!G49)),Лист1!$D49,0)</f>
        <v>2.95</v>
      </c>
      <c r="D48">
        <f>IF(NOT(ISBLANK(Лист1!H49)),Лист1!$D49,0)</f>
        <v>2.95</v>
      </c>
      <c r="E48">
        <f>IF(NOT(ISBLANK(Лист1!I49)),Лист1!$D49,0)</f>
        <v>2.95</v>
      </c>
      <c r="F48">
        <f>IF(NOT(ISBLANK(Лист1!J49)),Лист1!$D49,0)</f>
        <v>2.95</v>
      </c>
      <c r="G48">
        <f>IF(NOT(ISBLANK(Лист1!K49)),Лист1!$D49,0)</f>
        <v>2.95</v>
      </c>
      <c r="H48">
        <f>IF(NOT(ISBLANK(Лист1!L49)),Лист1!$D49,0)</f>
        <v>2.95</v>
      </c>
      <c r="I48">
        <f>IF(NOT(ISBLANK(Лист1!M49)),Лист1!$D49,0)</f>
        <v>2.95</v>
      </c>
      <c r="J48">
        <f>IF(NOT(ISBLANK(Лист1!N49)),Лист1!$D49,0)</f>
        <v>2.95</v>
      </c>
      <c r="K48">
        <f>IF(NOT(ISBLANK(Лист1!O49)),Лист1!$D49,0)</f>
        <v>2.95</v>
      </c>
      <c r="L48">
        <f>IF(NOT(ISBLANK(Лист1!P49)),Лист1!$D49,0)</f>
        <v>2.95</v>
      </c>
    </row>
    <row r="49" spans="1:12" x14ac:dyDescent="0.25">
      <c r="A49">
        <f>IF(NOT(ISBLANK(Лист1!E50)),Лист1!$D50,0)</f>
        <v>2.93</v>
      </c>
      <c r="B49">
        <f>IF(NOT(ISBLANK(Лист1!F50)),Лист1!$D50,0)</f>
        <v>2.93</v>
      </c>
      <c r="C49">
        <f>IF(NOT(ISBLANK(Лист1!G50)),Лист1!$D50,0)</f>
        <v>2.93</v>
      </c>
      <c r="D49">
        <f>IF(NOT(ISBLANK(Лист1!H50)),Лист1!$D50,0)</f>
        <v>2.93</v>
      </c>
      <c r="E49">
        <f>IF(NOT(ISBLANK(Лист1!I50)),Лист1!$D50,0)</f>
        <v>2.93</v>
      </c>
      <c r="F49">
        <f>IF(NOT(ISBLANK(Лист1!J50)),Лист1!$D50,0)</f>
        <v>2.93</v>
      </c>
      <c r="G49">
        <f>IF(NOT(ISBLANK(Лист1!K50)),Лист1!$D50,0)</f>
        <v>2.93</v>
      </c>
      <c r="H49">
        <f>IF(NOT(ISBLANK(Лист1!L50)),Лист1!$D50,0)</f>
        <v>2.93</v>
      </c>
      <c r="I49">
        <f>IF(NOT(ISBLANK(Лист1!M50)),Лист1!$D50,0)</f>
        <v>2.93</v>
      </c>
      <c r="J49">
        <f>IF(NOT(ISBLANK(Лист1!N50)),Лист1!$D50,0)</f>
        <v>2.93</v>
      </c>
      <c r="K49">
        <f>IF(NOT(ISBLANK(Лист1!O50)),Лист1!$D50,0)</f>
        <v>2.93</v>
      </c>
      <c r="L49">
        <f>IF(NOT(ISBLANK(Лист1!P50)),Лист1!$D50,0)</f>
        <v>2.93</v>
      </c>
    </row>
    <row r="50" spans="1:12" x14ac:dyDescent="0.25">
      <c r="A50">
        <f>IF(NOT(ISBLANK(Лист1!E51)),Лист1!$D51,0)</f>
        <v>0</v>
      </c>
      <c r="B50">
        <f>IF(NOT(ISBLANK(Лист1!F51)),Лист1!$D51,0)</f>
        <v>0</v>
      </c>
      <c r="C50">
        <f>IF(NOT(ISBLANK(Лист1!G51)),Лист1!$D51,0)</f>
        <v>0</v>
      </c>
      <c r="D50">
        <f>IF(NOT(ISBLANK(Лист1!H51)),Лист1!$D51,0)</f>
        <v>0</v>
      </c>
      <c r="E50">
        <f>IF(NOT(ISBLANK(Лист1!I51)),Лист1!$D51,0)</f>
        <v>0</v>
      </c>
      <c r="F50">
        <f>IF(NOT(ISBLANK(Лист1!J51)),Лист1!$D51,0)</f>
        <v>0</v>
      </c>
      <c r="G50">
        <f>IF(NOT(ISBLANK(Лист1!K51)),Лист1!$D51,0)</f>
        <v>0</v>
      </c>
      <c r="H50">
        <f>IF(NOT(ISBLANK(Лист1!L51)),Лист1!$D51,0)</f>
        <v>0</v>
      </c>
      <c r="I50">
        <f>IF(NOT(ISBLANK(Лист1!M51)),Лист1!$D51,0)</f>
        <v>0</v>
      </c>
      <c r="J50">
        <f>IF(NOT(ISBLANK(Лист1!N51)),Лист1!$D51,0)</f>
        <v>0</v>
      </c>
      <c r="K50">
        <f>IF(NOT(ISBLANK(Лист1!O51)),Лист1!$D51,0)</f>
        <v>0</v>
      </c>
      <c r="L50">
        <f>IF(NOT(ISBLANK(Лист1!P51)),Лист1!$D51,0)</f>
        <v>0</v>
      </c>
    </row>
    <row r="51" spans="1:12" x14ac:dyDescent="0.25">
      <c r="A51">
        <f>IF(NOT(ISBLANK(Лист1!E52)),Лист1!$D52,0)</f>
        <v>1.01</v>
      </c>
      <c r="B51">
        <f>IF(NOT(ISBLANK(Лист1!F52)),Лист1!$D52,0)</f>
        <v>1.01</v>
      </c>
      <c r="C51">
        <f>IF(NOT(ISBLANK(Лист1!G52)),Лист1!$D52,0)</f>
        <v>1.01</v>
      </c>
      <c r="D51">
        <f>IF(NOT(ISBLANK(Лист1!H52)),Лист1!$D52,0)</f>
        <v>1.01</v>
      </c>
      <c r="E51">
        <f>IF(NOT(ISBLANK(Лист1!I52)),Лист1!$D52,0)</f>
        <v>1.01</v>
      </c>
      <c r="F51">
        <f>IF(NOT(ISBLANK(Лист1!J52)),Лист1!$D52,0)</f>
        <v>1.01</v>
      </c>
      <c r="G51">
        <f>IF(NOT(ISBLANK(Лист1!K52)),Лист1!$D52,0)</f>
        <v>1.01</v>
      </c>
      <c r="H51">
        <f>IF(NOT(ISBLANK(Лист1!L52)),Лист1!$D52,0)</f>
        <v>1.01</v>
      </c>
      <c r="I51">
        <f>IF(NOT(ISBLANK(Лист1!M52)),Лист1!$D52,0)</f>
        <v>1.01</v>
      </c>
      <c r="J51">
        <f>IF(NOT(ISBLANK(Лист1!N52)),Лист1!$D52,0)</f>
        <v>1.01</v>
      </c>
      <c r="K51">
        <f>IF(NOT(ISBLANK(Лист1!O52)),Лист1!$D52,0)</f>
        <v>1.01</v>
      </c>
      <c r="L51">
        <f>IF(NOT(ISBLANK(Лист1!P52)),Лист1!$D52,0)</f>
        <v>1.01</v>
      </c>
    </row>
    <row r="52" spans="1:12" x14ac:dyDescent="0.25">
      <c r="A52">
        <f>IF(NOT(ISBLANK(Лист1!E53)),Лист1!$D53,0)</f>
        <v>1.01</v>
      </c>
      <c r="B52">
        <f>IF(NOT(ISBLANK(Лист1!F53)),Лист1!$D53,0)</f>
        <v>1.01</v>
      </c>
      <c r="C52">
        <f>IF(NOT(ISBLANK(Лист1!G53)),Лист1!$D53,0)</f>
        <v>1.01</v>
      </c>
      <c r="D52">
        <f>IF(NOT(ISBLANK(Лист1!H53)),Лист1!$D53,0)</f>
        <v>1.01</v>
      </c>
      <c r="E52">
        <f>IF(NOT(ISBLANK(Лист1!I53)),Лист1!$D53,0)</f>
        <v>1.01</v>
      </c>
      <c r="F52">
        <f>IF(NOT(ISBLANK(Лист1!J53)),Лист1!$D53,0)</f>
        <v>1.01</v>
      </c>
      <c r="G52">
        <f>IF(NOT(ISBLANK(Лист1!K53)),Лист1!$D53,0)</f>
        <v>1.01</v>
      </c>
      <c r="H52">
        <f>IF(NOT(ISBLANK(Лист1!L53)),Лист1!$D53,0)</f>
        <v>1.01</v>
      </c>
      <c r="I52">
        <f>IF(NOT(ISBLANK(Лист1!M53)),Лист1!$D53,0)</f>
        <v>1.01</v>
      </c>
      <c r="J52">
        <f>IF(NOT(ISBLANK(Лист1!N53)),Лист1!$D53,0)</f>
        <v>1.01</v>
      </c>
      <c r="K52">
        <f>IF(NOT(ISBLANK(Лист1!O53)),Лист1!$D53,0)</f>
        <v>1.01</v>
      </c>
      <c r="L52">
        <f>IF(NOT(ISBLANK(Лист1!P53)),Лист1!$D53,0)</f>
        <v>1.01</v>
      </c>
    </row>
    <row r="53" spans="1:12" x14ac:dyDescent="0.25">
      <c r="A53">
        <f>IF(NOT(ISBLANK(Лист1!E54)),Лист1!$D54,0)</f>
        <v>0</v>
      </c>
      <c r="B53">
        <f>IF(NOT(ISBLANK(Лист1!F54)),Лист1!$D54,0)</f>
        <v>0</v>
      </c>
      <c r="C53">
        <f>IF(NOT(ISBLANK(Лист1!G54)),Лист1!$D54,0)</f>
        <v>0</v>
      </c>
      <c r="D53">
        <f>IF(NOT(ISBLANK(Лист1!H54)),Лист1!$D54,0)</f>
        <v>0</v>
      </c>
      <c r="E53">
        <f>IF(NOT(ISBLANK(Лист1!I54)),Лист1!$D54,0)</f>
        <v>0</v>
      </c>
      <c r="F53">
        <f>IF(NOT(ISBLANK(Лист1!J54)),Лист1!$D54,0)</f>
        <v>0</v>
      </c>
      <c r="G53">
        <f>IF(NOT(ISBLANK(Лист1!K54)),Лист1!$D54,0)</f>
        <v>0</v>
      </c>
      <c r="H53">
        <f>IF(NOT(ISBLANK(Лист1!L54)),Лист1!$D54,0)</f>
        <v>0</v>
      </c>
      <c r="I53">
        <f>IF(NOT(ISBLANK(Лист1!M54)),Лист1!$D54,0)</f>
        <v>0</v>
      </c>
      <c r="J53">
        <f>IF(NOT(ISBLANK(Лист1!N54)),Лист1!$D54,0)</f>
        <v>0</v>
      </c>
      <c r="K53">
        <f>IF(NOT(ISBLANK(Лист1!O54)),Лист1!$D54,0)</f>
        <v>0</v>
      </c>
      <c r="L53">
        <f>IF(NOT(ISBLANK(Лист1!P54)),Лист1!$D54,0)</f>
        <v>0</v>
      </c>
    </row>
    <row r="54" spans="1:12" x14ac:dyDescent="0.25">
      <c r="A54">
        <f>IF(NOT(ISBLANK(Лист1!E55)),Лист1!$D55,0)</f>
        <v>0</v>
      </c>
      <c r="B54">
        <f>IF(NOT(ISBLANK(Лист1!F55)),Лист1!$D55,0)</f>
        <v>0</v>
      </c>
      <c r="C54">
        <f>IF(NOT(ISBLANK(Лист1!G55)),Лист1!$D55,0)</f>
        <v>0</v>
      </c>
      <c r="D54">
        <f>IF(NOT(ISBLANK(Лист1!H55)),Лист1!$D55,0)</f>
        <v>0</v>
      </c>
      <c r="E54">
        <f>IF(NOT(ISBLANK(Лист1!I55)),Лист1!$D55,0)</f>
        <v>0</v>
      </c>
      <c r="F54">
        <f>IF(NOT(ISBLANK(Лист1!J55)),Лист1!$D55,0)</f>
        <v>0</v>
      </c>
      <c r="G54">
        <f>IF(NOT(ISBLANK(Лист1!K55)),Лист1!$D55,0)</f>
        <v>0</v>
      </c>
      <c r="H54">
        <f>IF(NOT(ISBLANK(Лист1!L55)),Лист1!$D55,0)</f>
        <v>0</v>
      </c>
      <c r="I54">
        <f>IF(NOT(ISBLANK(Лист1!M55)),Лист1!$D55,0)</f>
        <v>0</v>
      </c>
      <c r="J54">
        <f>IF(NOT(ISBLANK(Лист1!N55)),Лист1!$D55,0)</f>
        <v>0</v>
      </c>
      <c r="K54">
        <f>IF(NOT(ISBLANK(Лист1!O55)),Лист1!$D55,0)</f>
        <v>0</v>
      </c>
      <c r="L54">
        <f>IF(NOT(ISBLANK(Лист1!P55)),Лист1!$D55,0)</f>
        <v>0</v>
      </c>
    </row>
    <row r="55" spans="1:12" x14ac:dyDescent="0.25">
      <c r="A55">
        <f>IF(NOT(ISBLANK(Лист1!E56)),Лист1!$D56,0)</f>
        <v>2</v>
      </c>
      <c r="B55">
        <f>IF(NOT(ISBLANK(Лист1!F56)),Лист1!$D56,0)</f>
        <v>2</v>
      </c>
      <c r="C55">
        <f>IF(NOT(ISBLANK(Лист1!G56)),Лист1!$D56,0)</f>
        <v>2</v>
      </c>
      <c r="D55">
        <f>IF(NOT(ISBLANK(Лист1!H56)),Лист1!$D56,0)</f>
        <v>2</v>
      </c>
      <c r="E55">
        <f>IF(NOT(ISBLANK(Лист1!I56)),Лист1!$D56,0)</f>
        <v>2</v>
      </c>
      <c r="F55">
        <f>IF(NOT(ISBLANK(Лист1!J56)),Лист1!$D56,0)</f>
        <v>2</v>
      </c>
      <c r="G55">
        <f>IF(NOT(ISBLANK(Лист1!K56)),Лист1!$D56,0)</f>
        <v>2</v>
      </c>
      <c r="H55">
        <f>IF(NOT(ISBLANK(Лист1!L56)),Лист1!$D56,0)</f>
        <v>2</v>
      </c>
      <c r="I55">
        <f>IF(NOT(ISBLANK(Лист1!M56)),Лист1!$D56,0)</f>
        <v>2</v>
      </c>
      <c r="J55">
        <f>IF(NOT(ISBLANK(Лист1!N56)),Лист1!$D56,0)</f>
        <v>2</v>
      </c>
      <c r="K55">
        <f>IF(NOT(ISBLANK(Лист1!O56)),Лист1!$D56,0)</f>
        <v>2</v>
      </c>
      <c r="L55">
        <f>IF(NOT(ISBLANK(Лист1!P56)),Лист1!$D56,0)</f>
        <v>2</v>
      </c>
    </row>
    <row r="56" spans="1:12" x14ac:dyDescent="0.25">
      <c r="A56">
        <f>IF(NOT(ISBLANK(Лист1!E57)),Лист1!$D57,0)</f>
        <v>0</v>
      </c>
      <c r="B56">
        <f>IF(NOT(ISBLANK(Лист1!F57)),Лист1!$D57,0)</f>
        <v>0</v>
      </c>
      <c r="C56">
        <f>IF(NOT(ISBLANK(Лист1!G57)),Лист1!$D57,0)</f>
        <v>0</v>
      </c>
      <c r="D56">
        <f>IF(NOT(ISBLANK(Лист1!H57)),Лист1!$D57,0)</f>
        <v>0</v>
      </c>
      <c r="E56">
        <f>IF(NOT(ISBLANK(Лист1!I57)),Лист1!$D57,0)</f>
        <v>0</v>
      </c>
      <c r="F56">
        <f>IF(NOT(ISBLANK(Лист1!J57)),Лист1!$D57,0)</f>
        <v>0</v>
      </c>
      <c r="G56">
        <f>IF(NOT(ISBLANK(Лист1!K57)),Лист1!$D57,0)</f>
        <v>0</v>
      </c>
      <c r="H56">
        <f>IF(NOT(ISBLANK(Лист1!L57)),Лист1!$D57,0)</f>
        <v>0</v>
      </c>
      <c r="I56">
        <f>IF(NOT(ISBLANK(Лист1!M57)),Лист1!$D57,0)</f>
        <v>0</v>
      </c>
      <c r="J56">
        <f>IF(NOT(ISBLANK(Лист1!N57)),Лист1!$D57,0)</f>
        <v>0</v>
      </c>
      <c r="K56">
        <f>IF(NOT(ISBLANK(Лист1!O57)),Лист1!$D57,0)</f>
        <v>0</v>
      </c>
      <c r="L56">
        <f>IF(NOT(ISBLANK(Лист1!P57)),Лист1!$D57,0)</f>
        <v>0</v>
      </c>
    </row>
    <row r="57" spans="1:12" x14ac:dyDescent="0.25">
      <c r="A57">
        <f>IF(NOT(ISBLANK(Лист1!E58)),Лист1!$D58,0)</f>
        <v>2.89</v>
      </c>
      <c r="B57">
        <f>IF(NOT(ISBLANK(Лист1!F58)),Лист1!$D58,0)</f>
        <v>2.89</v>
      </c>
      <c r="C57">
        <f>IF(NOT(ISBLANK(Лист1!G58)),Лист1!$D58,0)</f>
        <v>2.89</v>
      </c>
      <c r="D57">
        <f>IF(NOT(ISBLANK(Лист1!H58)),Лист1!$D58,0)</f>
        <v>2.89</v>
      </c>
      <c r="E57">
        <f>IF(NOT(ISBLANK(Лист1!I58)),Лист1!$D58,0)</f>
        <v>2.89</v>
      </c>
      <c r="F57">
        <f>IF(NOT(ISBLANK(Лист1!J58)),Лист1!$D58,0)</f>
        <v>2.89</v>
      </c>
      <c r="G57">
        <f>IF(NOT(ISBLANK(Лист1!K58)),Лист1!$D58,0)</f>
        <v>2.89</v>
      </c>
      <c r="H57">
        <f>IF(NOT(ISBLANK(Лист1!L58)),Лист1!$D58,0)</f>
        <v>2.89</v>
      </c>
      <c r="I57">
        <f>IF(NOT(ISBLANK(Лист1!M58)),Лист1!$D58,0)</f>
        <v>2.89</v>
      </c>
      <c r="J57">
        <f>IF(NOT(ISBLANK(Лист1!N58)),Лист1!$D58,0)</f>
        <v>2.89</v>
      </c>
      <c r="K57">
        <f>IF(NOT(ISBLANK(Лист1!O58)),Лист1!$D58,0)</f>
        <v>2.89</v>
      </c>
      <c r="L57">
        <f>IF(NOT(ISBLANK(Лист1!P58)),Лист1!$D58,0)</f>
        <v>2.89</v>
      </c>
    </row>
    <row r="58" spans="1:12" x14ac:dyDescent="0.25">
      <c r="A58">
        <f>SUM(A1:A57)</f>
        <v>61.140000000000008</v>
      </c>
      <c r="B58">
        <f t="shared" ref="B58:L58" si="0">SUM(B1:B57)</f>
        <v>61.140000000000008</v>
      </c>
      <c r="C58">
        <f t="shared" si="0"/>
        <v>61.140000000000008</v>
      </c>
      <c r="D58">
        <f t="shared" si="0"/>
        <v>61.140000000000008</v>
      </c>
      <c r="E58">
        <f t="shared" si="0"/>
        <v>61.140000000000008</v>
      </c>
      <c r="F58">
        <f t="shared" si="0"/>
        <v>61.140000000000008</v>
      </c>
      <c r="G58">
        <f t="shared" si="0"/>
        <v>61.140000000000008</v>
      </c>
      <c r="H58">
        <f t="shared" si="0"/>
        <v>61.140000000000008</v>
      </c>
      <c r="I58">
        <f t="shared" si="0"/>
        <v>61.140000000000008</v>
      </c>
      <c r="J58">
        <f t="shared" si="0"/>
        <v>61.140000000000008</v>
      </c>
      <c r="K58">
        <f t="shared" si="0"/>
        <v>61.140000000000008</v>
      </c>
      <c r="L58">
        <f t="shared" si="0"/>
        <v>61.140000000000008</v>
      </c>
    </row>
    <row r="59" spans="1:12" x14ac:dyDescent="0.25">
      <c r="A59">
        <f>1741.1*A58/100</f>
        <v>1064.50854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opLeftCell="A43" workbookViewId="0">
      <selection activeCell="A58" sqref="A58:L58"/>
    </sheetView>
  </sheetViews>
  <sheetFormatPr defaultRowHeight="15" x14ac:dyDescent="0.25"/>
  <sheetData>
    <row r="1" spans="1:12" x14ac:dyDescent="0.25">
      <c r="A1">
        <f>IF(Лист1!E2="за",Лист1!$D2,0)</f>
        <v>1.63</v>
      </c>
      <c r="B1">
        <f>IF(Лист1!F2="за",Лист1!$D2,0)</f>
        <v>1.63</v>
      </c>
      <c r="C1">
        <f>IF(Лист1!G2="за",Лист1!$D2,0)</f>
        <v>1.63</v>
      </c>
      <c r="D1">
        <f>IF(Лист1!H2="за",Лист1!$D2,0)</f>
        <v>1.63</v>
      </c>
      <c r="E1">
        <f>IF(Лист1!I2="за",Лист1!$D2,0)</f>
        <v>0</v>
      </c>
      <c r="F1">
        <f>IF(Лист1!J2="за",Лист1!$D2,0)</f>
        <v>1.63</v>
      </c>
      <c r="G1">
        <f>IF(Лист1!K2="за",Лист1!$D2,0)</f>
        <v>1.63</v>
      </c>
      <c r="H1">
        <f>IF(Лист1!L2="за",Лист1!$D2,0)</f>
        <v>0</v>
      </c>
      <c r="I1">
        <f>IF(Лист1!M2="за",Лист1!$D2,0)</f>
        <v>0</v>
      </c>
      <c r="J1">
        <f>IF(Лист1!N2="за",Лист1!$D2,0)</f>
        <v>0</v>
      </c>
      <c r="K1">
        <f>IF(Лист1!O2="за",Лист1!$D2,0)</f>
        <v>1.63</v>
      </c>
      <c r="L1">
        <f>IF(Лист1!P2="за",Лист1!$D2,0)</f>
        <v>0</v>
      </c>
    </row>
    <row r="2" spans="1:12" x14ac:dyDescent="0.25">
      <c r="A2">
        <f>IF(Лист1!E3="за",Лист1!$D3,0)</f>
        <v>1.63</v>
      </c>
      <c r="B2">
        <f>IF(Лист1!F3="за",Лист1!$D3,0)</f>
        <v>1.63</v>
      </c>
      <c r="C2">
        <f>IF(Лист1!G3="за",Лист1!$D3,0)</f>
        <v>1.63</v>
      </c>
      <c r="D2">
        <f>IF(Лист1!H3="за",Лист1!$D3,0)</f>
        <v>1.63</v>
      </c>
      <c r="E2">
        <f>IF(Лист1!I3="за",Лист1!$D3,0)</f>
        <v>0</v>
      </c>
      <c r="F2">
        <f>IF(Лист1!J3="за",Лист1!$D3,0)</f>
        <v>1.63</v>
      </c>
      <c r="G2">
        <f>IF(Лист1!K3="за",Лист1!$D3,0)</f>
        <v>1.63</v>
      </c>
      <c r="H2">
        <f>IF(Лист1!L3="за",Лист1!$D3,0)</f>
        <v>0</v>
      </c>
      <c r="I2">
        <f>IF(Лист1!M3="за",Лист1!$D3,0)</f>
        <v>0</v>
      </c>
      <c r="J2">
        <f>IF(Лист1!N3="за",Лист1!$D3,0)</f>
        <v>0</v>
      </c>
      <c r="K2">
        <f>IF(Лист1!O3="за",Лист1!$D3,0)</f>
        <v>1.63</v>
      </c>
      <c r="L2">
        <f>IF(Лист1!P3="за",Лист1!$D3,0)</f>
        <v>0</v>
      </c>
    </row>
    <row r="3" spans="1:12" x14ac:dyDescent="0.25">
      <c r="A3">
        <f>IF(Лист1!E4="за",Лист1!$D4,0)</f>
        <v>2</v>
      </c>
      <c r="B3">
        <f>IF(Лист1!F4="за",Лист1!$D4,0)</f>
        <v>2</v>
      </c>
      <c r="C3">
        <f>IF(Лист1!G4="за",Лист1!$D4,0)</f>
        <v>2</v>
      </c>
      <c r="D3">
        <f>IF(Лист1!H4="за",Лист1!$D4,0)</f>
        <v>2</v>
      </c>
      <c r="E3">
        <f>IF(Лист1!I4="за",Лист1!$D4,0)</f>
        <v>2</v>
      </c>
      <c r="F3">
        <f>IF(Лист1!J4="за",Лист1!$D4,0)</f>
        <v>2</v>
      </c>
      <c r="G3">
        <f>IF(Лист1!K4="за",Лист1!$D4,0)</f>
        <v>2</v>
      </c>
      <c r="H3">
        <f>IF(Лист1!L4="за",Лист1!$D4,0)</f>
        <v>0</v>
      </c>
      <c r="I3">
        <f>IF(Лист1!M4="за",Лист1!$D4,0)</f>
        <v>0</v>
      </c>
      <c r="J3">
        <f>IF(Лист1!N4="за",Лист1!$D4,0)</f>
        <v>0</v>
      </c>
      <c r="K3">
        <f>IF(Лист1!O4="за",Лист1!$D4,0)</f>
        <v>2</v>
      </c>
      <c r="L3">
        <f>IF(Лист1!P4="за",Лист1!$D4,0)</f>
        <v>2</v>
      </c>
    </row>
    <row r="4" spans="1:12" x14ac:dyDescent="0.25">
      <c r="A4">
        <f>IF(Лист1!E5="за",Лист1!$D5,0)</f>
        <v>2.04</v>
      </c>
      <c r="B4">
        <f>IF(Лист1!F5="за",Лист1!$D5,0)</f>
        <v>2.04</v>
      </c>
      <c r="C4">
        <f>IF(Лист1!G5="за",Лист1!$D5,0)</f>
        <v>2.04</v>
      </c>
      <c r="D4">
        <f>IF(Лист1!H5="за",Лист1!$D5,0)</f>
        <v>2.04</v>
      </c>
      <c r="E4">
        <f>IF(Лист1!I5="за",Лист1!$D5,0)</f>
        <v>2.04</v>
      </c>
      <c r="F4">
        <f>IF(Лист1!J5="за",Лист1!$D5,0)</f>
        <v>2.04</v>
      </c>
      <c r="G4">
        <f>IF(Лист1!K5="за",Лист1!$D5,0)</f>
        <v>2.04</v>
      </c>
      <c r="H4">
        <f>IF(Лист1!L5="за",Лист1!$D5,0)</f>
        <v>0</v>
      </c>
      <c r="I4">
        <f>IF(Лист1!M5="за",Лист1!$D5,0)</f>
        <v>0</v>
      </c>
      <c r="J4">
        <f>IF(Лист1!N5="за",Лист1!$D5,0)</f>
        <v>0</v>
      </c>
      <c r="K4">
        <f>IF(Лист1!O5="за",Лист1!$D5,0)</f>
        <v>2.04</v>
      </c>
      <c r="L4">
        <f>IF(Лист1!P5="за",Лист1!$D5,0)</f>
        <v>2.04</v>
      </c>
    </row>
    <row r="5" spans="1:12" x14ac:dyDescent="0.25">
      <c r="A5">
        <f>IF(Лист1!E6="за",Лист1!$D6,0)</f>
        <v>1.51</v>
      </c>
      <c r="B5">
        <f>IF(Лист1!F6="за",Лист1!$D6,0)</f>
        <v>1.51</v>
      </c>
      <c r="C5">
        <f>IF(Лист1!G6="за",Лист1!$D6,0)</f>
        <v>0</v>
      </c>
      <c r="D5">
        <f>IF(Лист1!H6="за",Лист1!$D6,0)</f>
        <v>0</v>
      </c>
      <c r="E5">
        <f>IF(Лист1!I6="за",Лист1!$D6,0)</f>
        <v>0</v>
      </c>
      <c r="F5">
        <f>IF(Лист1!J6="за",Лист1!$D6,0)</f>
        <v>0</v>
      </c>
      <c r="G5">
        <f>IF(Лист1!K6="за",Лист1!$D6,0)</f>
        <v>1.51</v>
      </c>
      <c r="H5">
        <f>IF(Лист1!L6="за",Лист1!$D6,0)</f>
        <v>0</v>
      </c>
      <c r="I5">
        <f>IF(Лист1!M6="за",Лист1!$D6,0)</f>
        <v>0</v>
      </c>
      <c r="J5">
        <f>IF(Лист1!N6="за",Лист1!$D6,0)</f>
        <v>0</v>
      </c>
      <c r="K5">
        <f>IF(Лист1!O6="за",Лист1!$D6,0)</f>
        <v>1.51</v>
      </c>
      <c r="L5">
        <f>IF(Лист1!P6="за",Лист1!$D6,0)</f>
        <v>1.51</v>
      </c>
    </row>
    <row r="6" spans="1:12" x14ac:dyDescent="0.25">
      <c r="A6">
        <f>IF(Лист1!E7="за",Лист1!$D7,0)</f>
        <v>1.51</v>
      </c>
      <c r="B6">
        <f>IF(Лист1!F7="за",Лист1!$D7,0)</f>
        <v>1.51</v>
      </c>
      <c r="C6">
        <f>IF(Лист1!G7="за",Лист1!$D7,0)</f>
        <v>0</v>
      </c>
      <c r="D6">
        <f>IF(Лист1!H7="за",Лист1!$D7,0)</f>
        <v>0</v>
      </c>
      <c r="E6">
        <f>IF(Лист1!I7="за",Лист1!$D7,0)</f>
        <v>0</v>
      </c>
      <c r="F6">
        <f>IF(Лист1!J7="за",Лист1!$D7,0)</f>
        <v>0</v>
      </c>
      <c r="G6">
        <f>IF(Лист1!K7="за",Лист1!$D7,0)</f>
        <v>1.51</v>
      </c>
      <c r="H6">
        <f>IF(Лист1!L7="за",Лист1!$D7,0)</f>
        <v>0</v>
      </c>
      <c r="I6">
        <f>IF(Лист1!M7="за",Лист1!$D7,0)</f>
        <v>0</v>
      </c>
      <c r="J6">
        <f>IF(Лист1!N7="за",Лист1!$D7,0)</f>
        <v>0</v>
      </c>
      <c r="K6">
        <f>IF(Лист1!O7="за",Лист1!$D7,0)</f>
        <v>1.51</v>
      </c>
      <c r="L6">
        <f>IF(Лист1!P7="за",Лист1!$D7,0)</f>
        <v>1.51</v>
      </c>
    </row>
    <row r="7" spans="1:12" x14ac:dyDescent="0.25">
      <c r="A7">
        <f>IF(Лист1!E8="за",Лист1!$D8,0)</f>
        <v>2.15</v>
      </c>
      <c r="B7">
        <f>IF(Лист1!F8="за",Лист1!$D8,0)</f>
        <v>2.15</v>
      </c>
      <c r="C7">
        <f>IF(Лист1!G8="за",Лист1!$D8,0)</f>
        <v>2.15</v>
      </c>
      <c r="D7">
        <f>IF(Лист1!H8="за",Лист1!$D8,0)</f>
        <v>2.15</v>
      </c>
      <c r="E7">
        <f>IF(Лист1!I8="за",Лист1!$D8,0)</f>
        <v>2.15</v>
      </c>
      <c r="F7">
        <f>IF(Лист1!J8="за",Лист1!$D8,0)</f>
        <v>2.15</v>
      </c>
      <c r="G7">
        <f>IF(Лист1!K8="за",Лист1!$D8,0)</f>
        <v>0</v>
      </c>
      <c r="H7">
        <f>IF(Лист1!L8="за",Лист1!$D8,0)</f>
        <v>0</v>
      </c>
      <c r="I7">
        <f>IF(Лист1!M8="за",Лист1!$D8,0)</f>
        <v>0</v>
      </c>
      <c r="J7">
        <f>IF(Лист1!N8="за",Лист1!$D8,0)</f>
        <v>2.15</v>
      </c>
      <c r="K7">
        <f>IF(Лист1!O8="за",Лист1!$D8,0)</f>
        <v>2.15</v>
      </c>
      <c r="L7">
        <f>IF(Лист1!P8="за",Лист1!$D8,0)</f>
        <v>2.15</v>
      </c>
    </row>
    <row r="8" spans="1:12" x14ac:dyDescent="0.25">
      <c r="A8">
        <f>IF(Лист1!E9="за",Лист1!$D9,0)</f>
        <v>1.36</v>
      </c>
      <c r="B8">
        <f>IF(Лист1!F9="за",Лист1!$D9,0)</f>
        <v>1.36</v>
      </c>
      <c r="C8">
        <f>IF(Лист1!G9="за",Лист1!$D9,0)</f>
        <v>1.36</v>
      </c>
      <c r="D8">
        <f>IF(Лист1!H9="за",Лист1!$D9,0)</f>
        <v>1.36</v>
      </c>
      <c r="E8">
        <f>IF(Лист1!I9="за",Лист1!$D9,0)</f>
        <v>1.36</v>
      </c>
      <c r="F8">
        <f>IF(Лист1!J9="за",Лист1!$D9,0)</f>
        <v>1.36</v>
      </c>
      <c r="G8">
        <f>IF(Лист1!K9="за",Лист1!$D9,0)</f>
        <v>1.36</v>
      </c>
      <c r="H8">
        <f>IF(Лист1!L9="за",Лист1!$D9,0)</f>
        <v>0</v>
      </c>
      <c r="I8">
        <f>IF(Лист1!M9="за",Лист1!$D9,0)</f>
        <v>0</v>
      </c>
      <c r="J8">
        <f>IF(Лист1!N9="за",Лист1!$D9,0)</f>
        <v>0</v>
      </c>
      <c r="K8">
        <f>IF(Лист1!O9="за",Лист1!$D9,0)</f>
        <v>1.36</v>
      </c>
      <c r="L8">
        <f>IF(Лист1!P9="за",Лист1!$D9,0)</f>
        <v>1.36</v>
      </c>
    </row>
    <row r="9" spans="1:12" x14ac:dyDescent="0.25">
      <c r="A9">
        <f>IF(Лист1!E10="за",Лист1!$D10,0)</f>
        <v>1.36</v>
      </c>
      <c r="B9">
        <f>IF(Лист1!F10="за",Лист1!$D10,0)</f>
        <v>1.36</v>
      </c>
      <c r="C9">
        <f>IF(Лист1!G10="за",Лист1!$D10,0)</f>
        <v>1.36</v>
      </c>
      <c r="D9">
        <f>IF(Лист1!H10="за",Лист1!$D10,0)</f>
        <v>1.36</v>
      </c>
      <c r="E9">
        <f>IF(Лист1!I10="за",Лист1!$D10,0)</f>
        <v>1.36</v>
      </c>
      <c r="F9">
        <f>IF(Лист1!J10="за",Лист1!$D10,0)</f>
        <v>1.36</v>
      </c>
      <c r="G9">
        <f>IF(Лист1!K10="за",Лист1!$D10,0)</f>
        <v>1.36</v>
      </c>
      <c r="H9">
        <f>IF(Лист1!L10="за",Лист1!$D10,0)</f>
        <v>0</v>
      </c>
      <c r="I9">
        <f>IF(Лист1!M10="за",Лист1!$D10,0)</f>
        <v>0</v>
      </c>
      <c r="J9">
        <f>IF(Лист1!N10="за",Лист1!$D10,0)</f>
        <v>0</v>
      </c>
      <c r="K9">
        <f>IF(Лист1!O10="за",Лист1!$D10,0)</f>
        <v>1.36</v>
      </c>
      <c r="L9">
        <f>IF(Лист1!P10="за",Лист1!$D10,0)</f>
        <v>1.36</v>
      </c>
    </row>
    <row r="10" spans="1:12" x14ac:dyDescent="0.25">
      <c r="A10">
        <f>IF(Лист1!E11="за",Лист1!$D11,0)</f>
        <v>1.6</v>
      </c>
      <c r="B10">
        <f>IF(Лист1!F11="за",Лист1!$D11,0)</f>
        <v>0</v>
      </c>
      <c r="C10">
        <f>IF(Лист1!G11="за",Лист1!$D11,0)</f>
        <v>1.6</v>
      </c>
      <c r="D10">
        <f>IF(Лист1!H11="за",Лист1!$D11,0)</f>
        <v>1.6</v>
      </c>
      <c r="E10">
        <f>IF(Лист1!I11="за",Лист1!$D11,0)</f>
        <v>1.6</v>
      </c>
      <c r="F10">
        <f>IF(Лист1!J11="за",Лист1!$D11,0)</f>
        <v>1.6</v>
      </c>
      <c r="G10">
        <f>IF(Лист1!K11="за",Лист1!$D11,0)</f>
        <v>1.6</v>
      </c>
      <c r="H10">
        <f>IF(Лист1!L11="за",Лист1!$D11,0)</f>
        <v>0</v>
      </c>
      <c r="I10">
        <f>IF(Лист1!M11="за",Лист1!$D11,0)</f>
        <v>0</v>
      </c>
      <c r="J10">
        <f>IF(Лист1!N11="за",Лист1!$D11,0)</f>
        <v>0</v>
      </c>
      <c r="K10">
        <f>IF(Лист1!O11="за",Лист1!$D11,0)</f>
        <v>1.6</v>
      </c>
      <c r="L10">
        <f>IF(Лист1!P11="за",Лист1!$D11,0)</f>
        <v>1.6</v>
      </c>
    </row>
    <row r="11" spans="1:12" x14ac:dyDescent="0.25">
      <c r="A11">
        <f>IF(Лист1!E12="за",Лист1!$D12,0)</f>
        <v>1.6</v>
      </c>
      <c r="B11">
        <f>IF(Лист1!F12="за",Лист1!$D12,0)</f>
        <v>0</v>
      </c>
      <c r="C11">
        <f>IF(Лист1!G12="за",Лист1!$D12,0)</f>
        <v>1.6</v>
      </c>
      <c r="D11">
        <f>IF(Лист1!H12="за",Лист1!$D12,0)</f>
        <v>1.6</v>
      </c>
      <c r="E11">
        <f>IF(Лист1!I12="за",Лист1!$D12,0)</f>
        <v>1.6</v>
      </c>
      <c r="F11">
        <f>IF(Лист1!J12="за",Лист1!$D12,0)</f>
        <v>1.6</v>
      </c>
      <c r="G11">
        <f>IF(Лист1!K12="за",Лист1!$D12,0)</f>
        <v>1.6</v>
      </c>
      <c r="H11">
        <f>IF(Лист1!L12="за",Лист1!$D12,0)</f>
        <v>0</v>
      </c>
      <c r="I11">
        <f>IF(Лист1!M12="за",Лист1!$D12,0)</f>
        <v>0</v>
      </c>
      <c r="J11">
        <f>IF(Лист1!N12="за",Лист1!$D12,0)</f>
        <v>0</v>
      </c>
      <c r="K11">
        <f>IF(Лист1!O12="за",Лист1!$D12,0)</f>
        <v>1.6</v>
      </c>
      <c r="L11">
        <f>IF(Лист1!P12="за",Лист1!$D12,0)</f>
        <v>1.6</v>
      </c>
    </row>
    <row r="12" spans="1:12" x14ac:dyDescent="0.25">
      <c r="A12">
        <f>IF(Лист1!E13="за",Лист1!$D13,0)</f>
        <v>0</v>
      </c>
      <c r="B12">
        <f>IF(Лист1!F13="за",Лист1!$D13,0)</f>
        <v>0</v>
      </c>
      <c r="C12">
        <f>IF(Лист1!G13="за",Лист1!$D13,0)</f>
        <v>0</v>
      </c>
      <c r="D12">
        <f>IF(Лист1!H13="за",Лист1!$D13,0)</f>
        <v>0</v>
      </c>
      <c r="E12">
        <f>IF(Лист1!I13="за",Лист1!$D13,0)</f>
        <v>0</v>
      </c>
      <c r="F12">
        <f>IF(Лист1!J13="за",Лист1!$D13,0)</f>
        <v>0</v>
      </c>
      <c r="G12">
        <f>IF(Лист1!K13="за",Лист1!$D13,0)</f>
        <v>0</v>
      </c>
      <c r="H12">
        <f>IF(Лист1!L13="за",Лист1!$D13,0)</f>
        <v>0</v>
      </c>
      <c r="I12">
        <f>IF(Лист1!M13="за",Лист1!$D13,0)</f>
        <v>0</v>
      </c>
      <c r="J12">
        <f>IF(Лист1!N13="за",Лист1!$D13,0)</f>
        <v>0</v>
      </c>
      <c r="K12">
        <f>IF(Лист1!O13="за",Лист1!$D13,0)</f>
        <v>0</v>
      </c>
      <c r="L12">
        <f>IF(Лист1!P13="за",Лист1!$D13,0)</f>
        <v>0</v>
      </c>
    </row>
    <row r="13" spans="1:12" x14ac:dyDescent="0.25">
      <c r="A13">
        <f>IF(Лист1!E14="за",Лист1!$D14,0)</f>
        <v>0</v>
      </c>
      <c r="B13">
        <f>IF(Лист1!F14="за",Лист1!$D14,0)</f>
        <v>2</v>
      </c>
      <c r="C13">
        <f>IF(Лист1!G14="за",Лист1!$D14,0)</f>
        <v>0</v>
      </c>
      <c r="D13">
        <f>IF(Лист1!H14="за",Лист1!$D14,0)</f>
        <v>2</v>
      </c>
      <c r="E13">
        <f>IF(Лист1!I14="за",Лист1!$D14,0)</f>
        <v>0</v>
      </c>
      <c r="F13">
        <f>IF(Лист1!J14="за",Лист1!$D14,0)</f>
        <v>0</v>
      </c>
      <c r="G13">
        <f>IF(Лист1!K14="за",Лист1!$D14,0)</f>
        <v>2</v>
      </c>
      <c r="H13">
        <f>IF(Лист1!L14="за",Лист1!$D14,0)</f>
        <v>0</v>
      </c>
      <c r="I13">
        <f>IF(Лист1!M14="за",Лист1!$D14,0)</f>
        <v>0</v>
      </c>
      <c r="J13">
        <f>IF(Лист1!N14="за",Лист1!$D14,0)</f>
        <v>0</v>
      </c>
      <c r="K13">
        <f>IF(Лист1!O14="за",Лист1!$D14,0)</f>
        <v>2</v>
      </c>
      <c r="L13">
        <f>IF(Лист1!P14="за",Лист1!$D14,0)</f>
        <v>0</v>
      </c>
    </row>
    <row r="14" spans="1:12" x14ac:dyDescent="0.25">
      <c r="A14">
        <f>IF(Лист1!E15="за",Лист1!$D15,0)</f>
        <v>1.51</v>
      </c>
      <c r="B14">
        <f>IF(Лист1!F15="за",Лист1!$D15,0)</f>
        <v>1.51</v>
      </c>
      <c r="C14">
        <f>IF(Лист1!G15="за",Лист1!$D15,0)</f>
        <v>1.51</v>
      </c>
      <c r="D14">
        <f>IF(Лист1!H15="за",Лист1!$D15,0)</f>
        <v>1.51</v>
      </c>
      <c r="E14">
        <f>IF(Лист1!I15="за",Лист1!$D15,0)</f>
        <v>1.51</v>
      </c>
      <c r="F14">
        <f>IF(Лист1!J15="за",Лист1!$D15,0)</f>
        <v>1.51</v>
      </c>
      <c r="G14">
        <f>IF(Лист1!K15="за",Лист1!$D15,0)</f>
        <v>1.51</v>
      </c>
      <c r="H14">
        <f>IF(Лист1!L15="за",Лист1!$D15,0)</f>
        <v>1.51</v>
      </c>
      <c r="I14">
        <f>IF(Лист1!M15="за",Лист1!$D15,0)</f>
        <v>1.51</v>
      </c>
      <c r="J14">
        <f>IF(Лист1!N15="за",Лист1!$D15,0)</f>
        <v>1.51</v>
      </c>
      <c r="K14">
        <f>IF(Лист1!O15="за",Лист1!$D15,0)</f>
        <v>1.51</v>
      </c>
      <c r="L14">
        <f>IF(Лист1!P15="за",Лист1!$D15,0)</f>
        <v>1.51</v>
      </c>
    </row>
    <row r="15" spans="1:12" x14ac:dyDescent="0.25">
      <c r="A15">
        <f>IF(Лист1!E16="за",Лист1!$D16,0)</f>
        <v>1.51</v>
      </c>
      <c r="B15">
        <f>IF(Лист1!F16="за",Лист1!$D16,0)</f>
        <v>1.51</v>
      </c>
      <c r="C15">
        <f>IF(Лист1!G16="за",Лист1!$D16,0)</f>
        <v>1.51</v>
      </c>
      <c r="D15">
        <f>IF(Лист1!H16="за",Лист1!$D16,0)</f>
        <v>1.51</v>
      </c>
      <c r="E15">
        <f>IF(Лист1!I16="за",Лист1!$D16,0)</f>
        <v>1.51</v>
      </c>
      <c r="F15">
        <f>IF(Лист1!J16="за",Лист1!$D16,0)</f>
        <v>1.51</v>
      </c>
      <c r="G15">
        <f>IF(Лист1!K16="за",Лист1!$D16,0)</f>
        <v>1.51</v>
      </c>
      <c r="H15">
        <f>IF(Лист1!L16="за",Лист1!$D16,0)</f>
        <v>1.51</v>
      </c>
      <c r="I15">
        <f>IF(Лист1!M16="за",Лист1!$D16,0)</f>
        <v>1.51</v>
      </c>
      <c r="J15">
        <f>IF(Лист1!N16="за",Лист1!$D16,0)</f>
        <v>1.51</v>
      </c>
      <c r="K15">
        <f>IF(Лист1!O16="за",Лист1!$D16,0)</f>
        <v>1.51</v>
      </c>
      <c r="L15">
        <f>IF(Лист1!P16="за",Лист1!$D16,0)</f>
        <v>1.51</v>
      </c>
    </row>
    <row r="16" spans="1:12" x14ac:dyDescent="0.25">
      <c r="A16">
        <f>IF(Лист1!E17="за",Лист1!$D17,0)</f>
        <v>0</v>
      </c>
      <c r="B16">
        <f>IF(Лист1!F17="за",Лист1!$D17,0)</f>
        <v>0</v>
      </c>
      <c r="C16">
        <f>IF(Лист1!G17="за",Лист1!$D17,0)</f>
        <v>0</v>
      </c>
      <c r="D16">
        <f>IF(Лист1!H17="за",Лист1!$D17,0)</f>
        <v>0</v>
      </c>
      <c r="E16">
        <f>IF(Лист1!I17="за",Лист1!$D17,0)</f>
        <v>0</v>
      </c>
      <c r="F16">
        <f>IF(Лист1!J17="за",Лист1!$D17,0)</f>
        <v>0</v>
      </c>
      <c r="G16">
        <f>IF(Лист1!K17="за",Лист1!$D17,0)</f>
        <v>0.43</v>
      </c>
      <c r="H16">
        <f>IF(Лист1!L17="за",Лист1!$D17,0)</f>
        <v>0</v>
      </c>
      <c r="I16">
        <f>IF(Лист1!M17="за",Лист1!$D17,0)</f>
        <v>0</v>
      </c>
      <c r="J16">
        <f>IF(Лист1!N17="за",Лист1!$D17,0)</f>
        <v>0</v>
      </c>
      <c r="K16">
        <f>IF(Лист1!O17="за",Лист1!$D17,0)</f>
        <v>0.43</v>
      </c>
      <c r="L16">
        <f>IF(Лист1!P17="за",Лист1!$D17,0)</f>
        <v>0</v>
      </c>
    </row>
    <row r="17" spans="1:12" x14ac:dyDescent="0.25">
      <c r="A17">
        <f>IF(Лист1!E18="за",Лист1!$D18,0)</f>
        <v>0</v>
      </c>
      <c r="B17">
        <f>IF(Лист1!F18="за",Лист1!$D18,0)</f>
        <v>0</v>
      </c>
      <c r="C17">
        <f>IF(Лист1!G18="за",Лист1!$D18,0)</f>
        <v>0</v>
      </c>
      <c r="D17">
        <f>IF(Лист1!H18="за",Лист1!$D18,0)</f>
        <v>0</v>
      </c>
      <c r="E17">
        <f>IF(Лист1!I18="за",Лист1!$D18,0)</f>
        <v>0</v>
      </c>
      <c r="F17">
        <f>IF(Лист1!J18="за",Лист1!$D18,0)</f>
        <v>0</v>
      </c>
      <c r="G17">
        <f>IF(Лист1!K18="за",Лист1!$D18,0)</f>
        <v>0.43</v>
      </c>
      <c r="H17">
        <f>IF(Лист1!L18="за",Лист1!$D18,0)</f>
        <v>0</v>
      </c>
      <c r="I17">
        <f>IF(Лист1!M18="за",Лист1!$D18,0)</f>
        <v>0</v>
      </c>
      <c r="J17">
        <f>IF(Лист1!N18="за",Лист1!$D18,0)</f>
        <v>0</v>
      </c>
      <c r="K17">
        <f>IF(Лист1!O18="за",Лист1!$D18,0)</f>
        <v>0.43</v>
      </c>
      <c r="L17">
        <f>IF(Лист1!P18="за",Лист1!$D18,0)</f>
        <v>0</v>
      </c>
    </row>
    <row r="18" spans="1:12" x14ac:dyDescent="0.25">
      <c r="A18">
        <f>IF(Лист1!E19="за",Лист1!$D19,0)</f>
        <v>0</v>
      </c>
      <c r="B18">
        <f>IF(Лист1!F19="за",Лист1!$D19,0)</f>
        <v>0</v>
      </c>
      <c r="C18">
        <f>IF(Лист1!G19="за",Лист1!$D19,0)</f>
        <v>0</v>
      </c>
      <c r="D18">
        <f>IF(Лист1!H19="за",Лист1!$D19,0)</f>
        <v>0</v>
      </c>
      <c r="E18">
        <f>IF(Лист1!I19="за",Лист1!$D19,0)</f>
        <v>0</v>
      </c>
      <c r="F18">
        <f>IF(Лист1!J19="за",Лист1!$D19,0)</f>
        <v>0</v>
      </c>
      <c r="G18">
        <f>IF(Лист1!K19="за",Лист1!$D19,0)</f>
        <v>0.43</v>
      </c>
      <c r="H18">
        <f>IF(Лист1!L19="за",Лист1!$D19,0)</f>
        <v>0</v>
      </c>
      <c r="I18">
        <f>IF(Лист1!M19="за",Лист1!$D19,0)</f>
        <v>0</v>
      </c>
      <c r="J18">
        <f>IF(Лист1!N19="за",Лист1!$D19,0)</f>
        <v>0</v>
      </c>
      <c r="K18">
        <f>IF(Лист1!O19="за",Лист1!$D19,0)</f>
        <v>0.43</v>
      </c>
      <c r="L18">
        <f>IF(Лист1!P19="за",Лист1!$D19,0)</f>
        <v>0</v>
      </c>
    </row>
    <row r="19" spans="1:12" x14ac:dyDescent="0.25">
      <c r="A19">
        <f>IF(Лист1!E20="за",Лист1!$D20,0)</f>
        <v>0</v>
      </c>
      <c r="B19">
        <f>IF(Лист1!F20="за",Лист1!$D20,0)</f>
        <v>0</v>
      </c>
      <c r="C19">
        <f>IF(Лист1!G20="за",Лист1!$D20,0)</f>
        <v>0</v>
      </c>
      <c r="D19">
        <f>IF(Лист1!H20="за",Лист1!$D20,0)</f>
        <v>0</v>
      </c>
      <c r="E19">
        <f>IF(Лист1!I20="за",Лист1!$D20,0)</f>
        <v>0</v>
      </c>
      <c r="F19">
        <f>IF(Лист1!J20="за",Лист1!$D20,0)</f>
        <v>0</v>
      </c>
      <c r="G19">
        <f>IF(Лист1!K20="за",Лист1!$D20,0)</f>
        <v>0.43</v>
      </c>
      <c r="H19">
        <f>IF(Лист1!L20="за",Лист1!$D20,0)</f>
        <v>0</v>
      </c>
      <c r="I19">
        <f>IF(Лист1!M20="за",Лист1!$D20,0)</f>
        <v>0</v>
      </c>
      <c r="J19">
        <f>IF(Лист1!N20="за",Лист1!$D20,0)</f>
        <v>0</v>
      </c>
      <c r="K19">
        <f>IF(Лист1!O20="за",Лист1!$D20,0)</f>
        <v>0.43</v>
      </c>
      <c r="L19">
        <f>IF(Лист1!P20="за",Лист1!$D20,0)</f>
        <v>0</v>
      </c>
    </row>
    <row r="20" spans="1:12" x14ac:dyDescent="0.25">
      <c r="A20">
        <f>IF(Лист1!E21="за",Лист1!$D21,0)</f>
        <v>0</v>
      </c>
      <c r="B20">
        <f>IF(Лист1!F21="за",Лист1!$D21,0)</f>
        <v>0</v>
      </c>
      <c r="C20">
        <f>IF(Лист1!G21="за",Лист1!$D21,0)</f>
        <v>0</v>
      </c>
      <c r="D20">
        <f>IF(Лист1!H21="за",Лист1!$D21,0)</f>
        <v>0</v>
      </c>
      <c r="E20">
        <f>IF(Лист1!I21="за",Лист1!$D21,0)</f>
        <v>0</v>
      </c>
      <c r="F20">
        <f>IF(Лист1!J21="за",Лист1!$D21,0)</f>
        <v>0</v>
      </c>
      <c r="G20">
        <f>IF(Лист1!K21="за",Лист1!$D21,0)</f>
        <v>0.43</v>
      </c>
      <c r="H20">
        <f>IF(Лист1!L21="за",Лист1!$D21,0)</f>
        <v>0</v>
      </c>
      <c r="I20">
        <f>IF(Лист1!M21="за",Лист1!$D21,0)</f>
        <v>0</v>
      </c>
      <c r="J20">
        <f>IF(Лист1!N21="за",Лист1!$D21,0)</f>
        <v>0</v>
      </c>
      <c r="K20">
        <f>IF(Лист1!O21="за",Лист1!$D21,0)</f>
        <v>0.43</v>
      </c>
      <c r="L20">
        <f>IF(Лист1!P21="за",Лист1!$D21,0)</f>
        <v>0</v>
      </c>
    </row>
    <row r="21" spans="1:12" x14ac:dyDescent="0.25">
      <c r="A21">
        <f>IF(Лист1!E22="за",Лист1!$D22,0)</f>
        <v>0</v>
      </c>
      <c r="B21">
        <f>IF(Лист1!F22="за",Лист1!$D22,0)</f>
        <v>0</v>
      </c>
      <c r="C21">
        <f>IF(Лист1!G22="за",Лист1!$D22,0)</f>
        <v>0</v>
      </c>
      <c r="D21">
        <f>IF(Лист1!H22="за",Лист1!$D22,0)</f>
        <v>0</v>
      </c>
      <c r="E21">
        <f>IF(Лист1!I22="за",Лист1!$D22,0)</f>
        <v>0</v>
      </c>
      <c r="F21">
        <f>IF(Лист1!J22="за",Лист1!$D22,0)</f>
        <v>0</v>
      </c>
      <c r="G21">
        <f>IF(Лист1!K22="за",Лист1!$D22,0)</f>
        <v>0</v>
      </c>
      <c r="H21">
        <f>IF(Лист1!L22="за",Лист1!$D22,0)</f>
        <v>0</v>
      </c>
      <c r="I21">
        <f>IF(Лист1!M22="за",Лист1!$D22,0)</f>
        <v>0</v>
      </c>
      <c r="J21">
        <f>IF(Лист1!N22="за",Лист1!$D22,0)</f>
        <v>0</v>
      </c>
      <c r="K21">
        <f>IF(Лист1!O22="за",Лист1!$D22,0)</f>
        <v>0</v>
      </c>
      <c r="L21">
        <f>IF(Лист1!P22="за",Лист1!$D22,0)</f>
        <v>0</v>
      </c>
    </row>
    <row r="22" spans="1:12" x14ac:dyDescent="0.25">
      <c r="A22">
        <f>IF(Лист1!E23="за",Лист1!$D23,0)</f>
        <v>0</v>
      </c>
      <c r="B22">
        <f>IF(Лист1!F23="за",Лист1!$D23,0)</f>
        <v>0</v>
      </c>
      <c r="C22">
        <f>IF(Лист1!G23="за",Лист1!$D23,0)</f>
        <v>0</v>
      </c>
      <c r="D22">
        <f>IF(Лист1!H23="за",Лист1!$D23,0)</f>
        <v>0</v>
      </c>
      <c r="E22">
        <f>IF(Лист1!I23="за",Лист1!$D23,0)</f>
        <v>0</v>
      </c>
      <c r="F22">
        <f>IF(Лист1!J23="за",Лист1!$D23,0)</f>
        <v>0</v>
      </c>
      <c r="G22">
        <f>IF(Лист1!K23="за",Лист1!$D23,0)</f>
        <v>0</v>
      </c>
      <c r="H22">
        <f>IF(Лист1!L23="за",Лист1!$D23,0)</f>
        <v>0</v>
      </c>
      <c r="I22">
        <f>IF(Лист1!M23="за",Лист1!$D23,0)</f>
        <v>0</v>
      </c>
      <c r="J22">
        <f>IF(Лист1!N23="за",Лист1!$D23,0)</f>
        <v>0</v>
      </c>
      <c r="K22">
        <f>IF(Лист1!O23="за",Лист1!$D23,0)</f>
        <v>0</v>
      </c>
      <c r="L22">
        <f>IF(Лист1!P23="за",Лист1!$D23,0)</f>
        <v>0</v>
      </c>
    </row>
    <row r="23" spans="1:12" x14ac:dyDescent="0.25">
      <c r="A23">
        <f>IF(Лист1!E24="за",Лист1!$D24,0)</f>
        <v>3.23</v>
      </c>
      <c r="B23">
        <f>IF(Лист1!F24="за",Лист1!$D24,0)</f>
        <v>3.23</v>
      </c>
      <c r="C23">
        <f>IF(Лист1!G24="за",Лист1!$D24,0)</f>
        <v>3.23</v>
      </c>
      <c r="D23">
        <f>IF(Лист1!H24="за",Лист1!$D24,0)</f>
        <v>3.23</v>
      </c>
      <c r="E23">
        <f>IF(Лист1!I24="за",Лист1!$D24,0)</f>
        <v>3.23</v>
      </c>
      <c r="F23">
        <f>IF(Лист1!J24="за",Лист1!$D24,0)</f>
        <v>3.23</v>
      </c>
      <c r="G23">
        <f>IF(Лист1!K24="за",Лист1!$D24,0)</f>
        <v>3.23</v>
      </c>
      <c r="H23">
        <f>IF(Лист1!L24="за",Лист1!$D24,0)</f>
        <v>3.23</v>
      </c>
      <c r="I23">
        <f>IF(Лист1!M24="за",Лист1!$D24,0)</f>
        <v>3.23</v>
      </c>
      <c r="J23">
        <f>IF(Лист1!N24="за",Лист1!$D24,0)</f>
        <v>3.23</v>
      </c>
      <c r="K23">
        <f>IF(Лист1!O24="за",Лист1!$D24,0)</f>
        <v>3.23</v>
      </c>
      <c r="L23">
        <f>IF(Лист1!P24="за",Лист1!$D24,0)</f>
        <v>3.23</v>
      </c>
    </row>
    <row r="24" spans="1:12" x14ac:dyDescent="0.25">
      <c r="A24">
        <f>IF(Лист1!E25="за",Лист1!$D25,0)</f>
        <v>0</v>
      </c>
      <c r="B24">
        <f>IF(Лист1!F25="за",Лист1!$D25,0)</f>
        <v>0</v>
      </c>
      <c r="C24">
        <f>IF(Лист1!G25="за",Лист1!$D25,0)</f>
        <v>0</v>
      </c>
      <c r="D24">
        <f>IF(Лист1!H25="за",Лист1!$D25,0)</f>
        <v>0</v>
      </c>
      <c r="E24">
        <f>IF(Лист1!I25="за",Лист1!$D25,0)</f>
        <v>0</v>
      </c>
      <c r="F24">
        <f>IF(Лист1!J25="за",Лист1!$D25,0)</f>
        <v>0</v>
      </c>
      <c r="G24">
        <f>IF(Лист1!K25="за",Лист1!$D25,0)</f>
        <v>0</v>
      </c>
      <c r="H24">
        <f>IF(Лист1!L25="за",Лист1!$D25,0)</f>
        <v>0</v>
      </c>
      <c r="I24">
        <f>IF(Лист1!M25="за",Лист1!$D25,0)</f>
        <v>0</v>
      </c>
      <c r="J24">
        <f>IF(Лист1!N25="за",Лист1!$D25,0)</f>
        <v>0</v>
      </c>
      <c r="K24">
        <f>IF(Лист1!O25="за",Лист1!$D25,0)</f>
        <v>0</v>
      </c>
      <c r="L24">
        <f>IF(Лист1!P25="за",Лист1!$D25,0)</f>
        <v>0</v>
      </c>
    </row>
    <row r="25" spans="1:12" x14ac:dyDescent="0.25">
      <c r="A25">
        <f>IF(Лист1!E26="за",Лист1!$D26,0)</f>
        <v>0</v>
      </c>
      <c r="B25">
        <f>IF(Лист1!F26="за",Лист1!$D26,0)</f>
        <v>0</v>
      </c>
      <c r="C25">
        <f>IF(Лист1!G26="за",Лист1!$D26,0)</f>
        <v>0</v>
      </c>
      <c r="D25">
        <f>IF(Лист1!H26="за",Лист1!$D26,0)</f>
        <v>0</v>
      </c>
      <c r="E25">
        <f>IF(Лист1!I26="за",Лист1!$D26,0)</f>
        <v>0</v>
      </c>
      <c r="F25">
        <f>IF(Лист1!J26="за",Лист1!$D26,0)</f>
        <v>0</v>
      </c>
      <c r="G25">
        <f>IF(Лист1!K26="за",Лист1!$D26,0)</f>
        <v>0</v>
      </c>
      <c r="H25">
        <f>IF(Лист1!L26="за",Лист1!$D26,0)</f>
        <v>0</v>
      </c>
      <c r="I25">
        <f>IF(Лист1!M26="за",Лист1!$D26,0)</f>
        <v>0</v>
      </c>
      <c r="J25">
        <f>IF(Лист1!N26="за",Лист1!$D26,0)</f>
        <v>0</v>
      </c>
      <c r="K25">
        <f>IF(Лист1!O26="за",Лист1!$D26,0)</f>
        <v>0</v>
      </c>
      <c r="L25">
        <f>IF(Лист1!P26="за",Лист1!$D26,0)</f>
        <v>0</v>
      </c>
    </row>
    <row r="26" spans="1:12" x14ac:dyDescent="0.25">
      <c r="A26">
        <f>IF(Лист1!E27="за",Лист1!$D27,0)</f>
        <v>0</v>
      </c>
      <c r="B26">
        <f>IF(Лист1!F27="за",Лист1!$D27,0)</f>
        <v>0</v>
      </c>
      <c r="C26">
        <f>IF(Лист1!G27="за",Лист1!$D27,0)</f>
        <v>0</v>
      </c>
      <c r="D26">
        <f>IF(Лист1!H27="за",Лист1!$D27,0)</f>
        <v>0</v>
      </c>
      <c r="E26">
        <f>IF(Лист1!I27="за",Лист1!$D27,0)</f>
        <v>0</v>
      </c>
      <c r="F26">
        <f>IF(Лист1!J27="за",Лист1!$D27,0)</f>
        <v>0</v>
      </c>
      <c r="G26">
        <f>IF(Лист1!K27="за",Лист1!$D27,0)</f>
        <v>0</v>
      </c>
      <c r="H26">
        <f>IF(Лист1!L27="за",Лист1!$D27,0)</f>
        <v>0</v>
      </c>
      <c r="I26">
        <f>IF(Лист1!M27="за",Лист1!$D27,0)</f>
        <v>0</v>
      </c>
      <c r="J26">
        <f>IF(Лист1!N27="за",Лист1!$D27,0)</f>
        <v>0</v>
      </c>
      <c r="K26">
        <f>IF(Лист1!O27="за",Лист1!$D27,0)</f>
        <v>0</v>
      </c>
      <c r="L26">
        <f>IF(Лист1!P27="за",Лист1!$D27,0)</f>
        <v>0</v>
      </c>
    </row>
    <row r="27" spans="1:12" x14ac:dyDescent="0.25">
      <c r="A27">
        <f>IF(Лист1!E28="за",Лист1!$D28,0)</f>
        <v>2.14</v>
      </c>
      <c r="B27">
        <f>IF(Лист1!F28="за",Лист1!$D28,0)</f>
        <v>2.14</v>
      </c>
      <c r="C27">
        <f>IF(Лист1!G28="за",Лист1!$D28,0)</f>
        <v>2.14</v>
      </c>
      <c r="D27">
        <f>IF(Лист1!H28="за",Лист1!$D28,0)</f>
        <v>2.14</v>
      </c>
      <c r="E27">
        <f>IF(Лист1!I28="за",Лист1!$D28,0)</f>
        <v>2.14</v>
      </c>
      <c r="F27">
        <f>IF(Лист1!J28="за",Лист1!$D28,0)</f>
        <v>2.14</v>
      </c>
      <c r="G27">
        <f>IF(Лист1!K28="за",Лист1!$D28,0)</f>
        <v>2.14</v>
      </c>
      <c r="H27">
        <f>IF(Лист1!L28="за",Лист1!$D28,0)</f>
        <v>0</v>
      </c>
      <c r="I27">
        <f>IF(Лист1!M28="за",Лист1!$D28,0)</f>
        <v>0</v>
      </c>
      <c r="J27">
        <f>IF(Лист1!N28="за",Лист1!$D28,0)</f>
        <v>0</v>
      </c>
      <c r="K27">
        <f>IF(Лист1!O28="за",Лист1!$D28,0)</f>
        <v>2.14</v>
      </c>
      <c r="L27">
        <f>IF(Лист1!P28="за",Лист1!$D28,0)</f>
        <v>2.14</v>
      </c>
    </row>
    <row r="28" spans="1:12" x14ac:dyDescent="0.25">
      <c r="A28">
        <f>IF(Лист1!E29="за",Лист1!$D29,0)</f>
        <v>1.34</v>
      </c>
      <c r="B28">
        <f>IF(Лист1!F29="за",Лист1!$D29,0)</f>
        <v>1.34</v>
      </c>
      <c r="C28">
        <f>IF(Лист1!G29="за",Лист1!$D29,0)</f>
        <v>1.34</v>
      </c>
      <c r="D28">
        <f>IF(Лист1!H29="за",Лист1!$D29,0)</f>
        <v>1.34</v>
      </c>
      <c r="E28">
        <f>IF(Лист1!I29="за",Лист1!$D29,0)</f>
        <v>1.34</v>
      </c>
      <c r="F28">
        <f>IF(Лист1!J29="за",Лист1!$D29,0)</f>
        <v>1.34</v>
      </c>
      <c r="G28">
        <f>IF(Лист1!K29="за",Лист1!$D29,0)</f>
        <v>1.34</v>
      </c>
      <c r="H28">
        <f>IF(Лист1!L29="за",Лист1!$D29,0)</f>
        <v>1.34</v>
      </c>
      <c r="I28">
        <f>IF(Лист1!M29="за",Лист1!$D29,0)</f>
        <v>1.34</v>
      </c>
      <c r="J28">
        <f>IF(Лист1!N29="за",Лист1!$D29,0)</f>
        <v>1.34</v>
      </c>
      <c r="K28">
        <f>IF(Лист1!O29="за",Лист1!$D29,0)</f>
        <v>1.34</v>
      </c>
      <c r="L28">
        <f>IF(Лист1!P29="за",Лист1!$D29,0)</f>
        <v>1.34</v>
      </c>
    </row>
    <row r="29" spans="1:12" x14ac:dyDescent="0.25">
      <c r="A29">
        <f>IF(Лист1!E30="за",Лист1!$D30,0)</f>
        <v>1.34</v>
      </c>
      <c r="B29">
        <f>IF(Лист1!F30="за",Лист1!$D30,0)</f>
        <v>1.34</v>
      </c>
      <c r="C29">
        <f>IF(Лист1!G30="за",Лист1!$D30,0)</f>
        <v>1.34</v>
      </c>
      <c r="D29">
        <f>IF(Лист1!H30="за",Лист1!$D30,0)</f>
        <v>1.34</v>
      </c>
      <c r="E29">
        <f>IF(Лист1!I30="за",Лист1!$D30,0)</f>
        <v>1.34</v>
      </c>
      <c r="F29">
        <f>IF(Лист1!J30="за",Лист1!$D30,0)</f>
        <v>1.34</v>
      </c>
      <c r="G29">
        <f>IF(Лист1!K30="за",Лист1!$D30,0)</f>
        <v>1.34</v>
      </c>
      <c r="H29">
        <f>IF(Лист1!L30="за",Лист1!$D30,0)</f>
        <v>1.34</v>
      </c>
      <c r="I29">
        <f>IF(Лист1!M30="за",Лист1!$D30,0)</f>
        <v>1.34</v>
      </c>
      <c r="J29">
        <f>IF(Лист1!N30="за",Лист1!$D30,0)</f>
        <v>1.34</v>
      </c>
      <c r="K29">
        <f>IF(Лист1!O30="за",Лист1!$D30,0)</f>
        <v>1.34</v>
      </c>
      <c r="L29">
        <f>IF(Лист1!P30="за",Лист1!$D30,0)</f>
        <v>1.34</v>
      </c>
    </row>
    <row r="30" spans="1:12" x14ac:dyDescent="0.25">
      <c r="A30">
        <f>IF(Лист1!E31="за",Лист1!$D31,0)</f>
        <v>0</v>
      </c>
      <c r="B30">
        <f>IF(Лист1!F31="за",Лист1!$D31,0)</f>
        <v>0</v>
      </c>
      <c r="C30">
        <f>IF(Лист1!G31="за",Лист1!$D31,0)</f>
        <v>0</v>
      </c>
      <c r="D30">
        <f>IF(Лист1!H31="за",Лист1!$D31,0)</f>
        <v>0</v>
      </c>
      <c r="E30">
        <f>IF(Лист1!I31="за",Лист1!$D31,0)</f>
        <v>0</v>
      </c>
      <c r="F30">
        <f>IF(Лист1!J31="за",Лист1!$D31,0)</f>
        <v>0</v>
      </c>
      <c r="G30">
        <f>IF(Лист1!K31="за",Лист1!$D31,0)</f>
        <v>0</v>
      </c>
      <c r="H30">
        <f>IF(Лист1!L31="за",Лист1!$D31,0)</f>
        <v>0</v>
      </c>
      <c r="I30">
        <f>IF(Лист1!M31="за",Лист1!$D31,0)</f>
        <v>0</v>
      </c>
      <c r="J30">
        <f>IF(Лист1!N31="за",Лист1!$D31,0)</f>
        <v>0</v>
      </c>
      <c r="K30">
        <f>IF(Лист1!O31="за",Лист1!$D31,0)</f>
        <v>0</v>
      </c>
      <c r="L30">
        <f>IF(Лист1!P31="за",Лист1!$D31,0)</f>
        <v>0</v>
      </c>
    </row>
    <row r="31" spans="1:12" x14ac:dyDescent="0.25">
      <c r="A31">
        <f>IF(Лист1!E32="за",Лист1!$D32,0)</f>
        <v>0</v>
      </c>
      <c r="B31">
        <f>IF(Лист1!F32="за",Лист1!$D32,0)</f>
        <v>0</v>
      </c>
      <c r="C31">
        <f>IF(Лист1!G32="за",Лист1!$D32,0)</f>
        <v>0</v>
      </c>
      <c r="D31">
        <f>IF(Лист1!H32="за",Лист1!$D32,0)</f>
        <v>0</v>
      </c>
      <c r="E31">
        <f>IF(Лист1!I32="за",Лист1!$D32,0)</f>
        <v>0</v>
      </c>
      <c r="F31">
        <f>IF(Лист1!J32="за",Лист1!$D32,0)</f>
        <v>0</v>
      </c>
      <c r="G31">
        <f>IF(Лист1!K32="за",Лист1!$D32,0)</f>
        <v>0</v>
      </c>
      <c r="H31">
        <f>IF(Лист1!L32="за",Лист1!$D32,0)</f>
        <v>0</v>
      </c>
      <c r="I31">
        <f>IF(Лист1!M32="за",Лист1!$D32,0)</f>
        <v>0</v>
      </c>
      <c r="J31">
        <f>IF(Лист1!N32="за",Лист1!$D32,0)</f>
        <v>0</v>
      </c>
      <c r="K31">
        <f>IF(Лист1!O32="за",Лист1!$D32,0)</f>
        <v>0</v>
      </c>
      <c r="L31">
        <f>IF(Лист1!P32="за",Лист1!$D32,0)</f>
        <v>0</v>
      </c>
    </row>
    <row r="32" spans="1:12" x14ac:dyDescent="0.25">
      <c r="A32">
        <f>IF(Лист1!E33="за",Лист1!$D33,0)</f>
        <v>0</v>
      </c>
      <c r="B32">
        <f>IF(Лист1!F33="за",Лист1!$D33,0)</f>
        <v>0</v>
      </c>
      <c r="C32">
        <f>IF(Лист1!G33="за",Лист1!$D33,0)</f>
        <v>0</v>
      </c>
      <c r="D32">
        <f>IF(Лист1!H33="за",Лист1!$D33,0)</f>
        <v>0</v>
      </c>
      <c r="E32">
        <f>IF(Лист1!I33="за",Лист1!$D33,0)</f>
        <v>0</v>
      </c>
      <c r="F32">
        <f>IF(Лист1!J33="за",Лист1!$D33,0)</f>
        <v>0</v>
      </c>
      <c r="G32">
        <f>IF(Лист1!K33="за",Лист1!$D33,0)</f>
        <v>0</v>
      </c>
      <c r="H32">
        <f>IF(Лист1!L33="за",Лист1!$D33,0)</f>
        <v>0</v>
      </c>
      <c r="I32">
        <f>IF(Лист1!M33="за",Лист1!$D33,0)</f>
        <v>0</v>
      </c>
      <c r="J32">
        <f>IF(Лист1!N33="за",Лист1!$D33,0)</f>
        <v>0</v>
      </c>
      <c r="K32">
        <f>IF(Лист1!O33="за",Лист1!$D33,0)</f>
        <v>0</v>
      </c>
      <c r="L32">
        <f>IF(Лист1!P33="за",Лист1!$D33,0)</f>
        <v>0</v>
      </c>
    </row>
    <row r="33" spans="1:12" x14ac:dyDescent="0.25">
      <c r="A33">
        <f>IF(Лист1!E34="за",Лист1!$D34,0)</f>
        <v>0</v>
      </c>
      <c r="B33">
        <f>IF(Лист1!F34="за",Лист1!$D34,0)</f>
        <v>0</v>
      </c>
      <c r="C33">
        <f>IF(Лист1!G34="за",Лист1!$D34,0)</f>
        <v>0</v>
      </c>
      <c r="D33">
        <f>IF(Лист1!H34="за",Лист1!$D34,0)</f>
        <v>0</v>
      </c>
      <c r="E33">
        <f>IF(Лист1!I34="за",Лист1!$D34,0)</f>
        <v>0</v>
      </c>
      <c r="F33">
        <f>IF(Лист1!J34="за",Лист1!$D34,0)</f>
        <v>0</v>
      </c>
      <c r="G33">
        <f>IF(Лист1!K34="за",Лист1!$D34,0)</f>
        <v>0</v>
      </c>
      <c r="H33">
        <f>IF(Лист1!L34="за",Лист1!$D34,0)</f>
        <v>0</v>
      </c>
      <c r="I33">
        <f>IF(Лист1!M34="за",Лист1!$D34,0)</f>
        <v>0</v>
      </c>
      <c r="J33">
        <f>IF(Лист1!N34="за",Лист1!$D34,0)</f>
        <v>0</v>
      </c>
      <c r="K33">
        <f>IF(Лист1!O34="за",Лист1!$D34,0)</f>
        <v>0</v>
      </c>
      <c r="L33">
        <f>IF(Лист1!P34="за",Лист1!$D34,0)</f>
        <v>0</v>
      </c>
    </row>
    <row r="34" spans="1:12" x14ac:dyDescent="0.25">
      <c r="A34">
        <f>IF(Лист1!E35="за",Лист1!$D35,0)</f>
        <v>0</v>
      </c>
      <c r="B34">
        <f>IF(Лист1!F35="за",Лист1!$D35,0)</f>
        <v>0</v>
      </c>
      <c r="C34">
        <f>IF(Лист1!G35="за",Лист1!$D35,0)</f>
        <v>0</v>
      </c>
      <c r="D34">
        <f>IF(Лист1!H35="за",Лист1!$D35,0)</f>
        <v>0</v>
      </c>
      <c r="E34">
        <f>IF(Лист1!I35="за",Лист1!$D35,0)</f>
        <v>0</v>
      </c>
      <c r="F34">
        <f>IF(Лист1!J35="за",Лист1!$D35,0)</f>
        <v>0</v>
      </c>
      <c r="G34">
        <f>IF(Лист1!K35="за",Лист1!$D35,0)</f>
        <v>0</v>
      </c>
      <c r="H34">
        <f>IF(Лист1!L35="за",Лист1!$D35,0)</f>
        <v>0</v>
      </c>
      <c r="I34">
        <f>IF(Лист1!M35="за",Лист1!$D35,0)</f>
        <v>0</v>
      </c>
      <c r="J34">
        <f>IF(Лист1!N35="за",Лист1!$D35,0)</f>
        <v>0</v>
      </c>
      <c r="K34">
        <f>IF(Лист1!O35="за",Лист1!$D35,0)</f>
        <v>0</v>
      </c>
      <c r="L34">
        <f>IF(Лист1!P35="за",Лист1!$D35,0)</f>
        <v>0</v>
      </c>
    </row>
    <row r="35" spans="1:12" x14ac:dyDescent="0.25">
      <c r="A35">
        <f>IF(Лист1!E36="за",Лист1!$D36,0)</f>
        <v>0</v>
      </c>
      <c r="B35">
        <f>IF(Лист1!F36="за",Лист1!$D36,0)</f>
        <v>0</v>
      </c>
      <c r="C35">
        <f>IF(Лист1!G36="за",Лист1!$D36,0)</f>
        <v>0</v>
      </c>
      <c r="D35">
        <f>IF(Лист1!H36="за",Лист1!$D36,0)</f>
        <v>0</v>
      </c>
      <c r="E35">
        <f>IF(Лист1!I36="за",Лист1!$D36,0)</f>
        <v>0</v>
      </c>
      <c r="F35">
        <f>IF(Лист1!J36="за",Лист1!$D36,0)</f>
        <v>0</v>
      </c>
      <c r="G35">
        <f>IF(Лист1!K36="за",Лист1!$D36,0)</f>
        <v>0</v>
      </c>
      <c r="H35">
        <f>IF(Лист1!L36="за",Лист1!$D36,0)</f>
        <v>0</v>
      </c>
      <c r="I35">
        <f>IF(Лист1!M36="за",Лист1!$D36,0)</f>
        <v>0</v>
      </c>
      <c r="J35">
        <f>IF(Лист1!N36="за",Лист1!$D36,0)</f>
        <v>0</v>
      </c>
      <c r="K35">
        <f>IF(Лист1!O36="за",Лист1!$D36,0)</f>
        <v>0</v>
      </c>
      <c r="L35">
        <f>IF(Лист1!P36="за",Лист1!$D36,0)</f>
        <v>0</v>
      </c>
    </row>
    <row r="36" spans="1:12" x14ac:dyDescent="0.25">
      <c r="A36">
        <f>IF(Лист1!E37="за",Лист1!$D37,0)</f>
        <v>0</v>
      </c>
      <c r="B36">
        <f>IF(Лист1!F37="за",Лист1!$D37,0)</f>
        <v>0</v>
      </c>
      <c r="C36">
        <f>IF(Лист1!G37="за",Лист1!$D37,0)</f>
        <v>0</v>
      </c>
      <c r="D36">
        <f>IF(Лист1!H37="за",Лист1!$D37,0)</f>
        <v>0</v>
      </c>
      <c r="E36">
        <f>IF(Лист1!I37="за",Лист1!$D37,0)</f>
        <v>0</v>
      </c>
      <c r="F36">
        <f>IF(Лист1!J37="за",Лист1!$D37,0)</f>
        <v>0</v>
      </c>
      <c r="G36">
        <f>IF(Лист1!K37="за",Лист1!$D37,0)</f>
        <v>0</v>
      </c>
      <c r="H36">
        <f>IF(Лист1!L37="за",Лист1!$D37,0)</f>
        <v>0</v>
      </c>
      <c r="I36">
        <f>IF(Лист1!M37="за",Лист1!$D37,0)</f>
        <v>0</v>
      </c>
      <c r="J36">
        <f>IF(Лист1!N37="за",Лист1!$D37,0)</f>
        <v>0</v>
      </c>
      <c r="K36">
        <f>IF(Лист1!O37="за",Лист1!$D37,0)</f>
        <v>0</v>
      </c>
      <c r="L36">
        <f>IF(Лист1!P37="за",Лист1!$D37,0)</f>
        <v>0</v>
      </c>
    </row>
    <row r="37" spans="1:12" x14ac:dyDescent="0.25">
      <c r="A37">
        <f>IF(Лист1!E38="за",Лист1!$D38,0)</f>
        <v>1.34</v>
      </c>
      <c r="B37">
        <f>IF(Лист1!F38="за",Лист1!$D38,0)</f>
        <v>1.34</v>
      </c>
      <c r="C37">
        <f>IF(Лист1!G38="за",Лист1!$D38,0)</f>
        <v>1.34</v>
      </c>
      <c r="D37">
        <f>IF(Лист1!H38="за",Лист1!$D38,0)</f>
        <v>1.34</v>
      </c>
      <c r="E37">
        <f>IF(Лист1!I38="за",Лист1!$D38,0)</f>
        <v>1.34</v>
      </c>
      <c r="F37">
        <f>IF(Лист1!J38="за",Лист1!$D38,0)</f>
        <v>1.34</v>
      </c>
      <c r="G37">
        <f>IF(Лист1!K38="за",Лист1!$D38,0)</f>
        <v>1.34</v>
      </c>
      <c r="H37">
        <f>IF(Лист1!L38="за",Лист1!$D38,0)</f>
        <v>1.34</v>
      </c>
      <c r="I37">
        <f>IF(Лист1!M38="за",Лист1!$D38,0)</f>
        <v>1.34</v>
      </c>
      <c r="J37">
        <f>IF(Лист1!N38="за",Лист1!$D38,0)</f>
        <v>1.34</v>
      </c>
      <c r="K37">
        <f>IF(Лист1!O38="за",Лист1!$D38,0)</f>
        <v>1.34</v>
      </c>
      <c r="L37">
        <f>IF(Лист1!P38="за",Лист1!$D38,0)</f>
        <v>1.34</v>
      </c>
    </row>
    <row r="38" spans="1:12" x14ac:dyDescent="0.25">
      <c r="A38">
        <f>IF(Лист1!E39="за",Лист1!$D39,0)</f>
        <v>1.34</v>
      </c>
      <c r="B38">
        <f>IF(Лист1!F39="за",Лист1!$D39,0)</f>
        <v>1.34</v>
      </c>
      <c r="C38">
        <f>IF(Лист1!G39="за",Лист1!$D39,0)</f>
        <v>1.34</v>
      </c>
      <c r="D38">
        <f>IF(Лист1!H39="за",Лист1!$D39,0)</f>
        <v>1.34</v>
      </c>
      <c r="E38">
        <f>IF(Лист1!I39="за",Лист1!$D39,0)</f>
        <v>1.34</v>
      </c>
      <c r="F38">
        <f>IF(Лист1!J39="за",Лист1!$D39,0)</f>
        <v>1.34</v>
      </c>
      <c r="G38">
        <f>IF(Лист1!K39="за",Лист1!$D39,0)</f>
        <v>1.34</v>
      </c>
      <c r="H38">
        <f>IF(Лист1!L39="за",Лист1!$D39,0)</f>
        <v>1.34</v>
      </c>
      <c r="I38">
        <f>IF(Лист1!M39="за",Лист1!$D39,0)</f>
        <v>1.34</v>
      </c>
      <c r="J38">
        <f>IF(Лист1!N39="за",Лист1!$D39,0)</f>
        <v>1.34</v>
      </c>
      <c r="K38">
        <f>IF(Лист1!O39="за",Лист1!$D39,0)</f>
        <v>1.34</v>
      </c>
      <c r="L38">
        <f>IF(Лист1!P39="за",Лист1!$D39,0)</f>
        <v>1.34</v>
      </c>
    </row>
    <row r="39" spans="1:12" x14ac:dyDescent="0.25">
      <c r="A39">
        <f>IF(Лист1!E40="за",Лист1!$D40,0)</f>
        <v>0</v>
      </c>
      <c r="B39">
        <f>IF(Лист1!F40="за",Лист1!$D40,0)</f>
        <v>0</v>
      </c>
      <c r="C39">
        <f>IF(Лист1!G40="за",Лист1!$D40,0)</f>
        <v>0</v>
      </c>
      <c r="D39">
        <f>IF(Лист1!H40="за",Лист1!$D40,0)</f>
        <v>0</v>
      </c>
      <c r="E39">
        <f>IF(Лист1!I40="за",Лист1!$D40,0)</f>
        <v>0</v>
      </c>
      <c r="F39">
        <f>IF(Лист1!J40="за",Лист1!$D40,0)</f>
        <v>0</v>
      </c>
      <c r="G39">
        <f>IF(Лист1!K40="за",Лист1!$D40,0)</f>
        <v>0</v>
      </c>
      <c r="H39">
        <f>IF(Лист1!L40="за",Лист1!$D40,0)</f>
        <v>0</v>
      </c>
      <c r="I39">
        <f>IF(Лист1!M40="за",Лист1!$D40,0)</f>
        <v>0</v>
      </c>
      <c r="J39">
        <f>IF(Лист1!N40="за",Лист1!$D40,0)</f>
        <v>0</v>
      </c>
      <c r="K39">
        <f>IF(Лист1!O40="за",Лист1!$D40,0)</f>
        <v>0</v>
      </c>
      <c r="L39">
        <f>IF(Лист1!P40="за",Лист1!$D40,0)</f>
        <v>0</v>
      </c>
    </row>
    <row r="40" spans="1:12" x14ac:dyDescent="0.25">
      <c r="A40">
        <f>IF(Лист1!E41="за",Лист1!$D41,0)</f>
        <v>0</v>
      </c>
      <c r="B40">
        <f>IF(Лист1!F41="за",Лист1!$D41,0)</f>
        <v>0</v>
      </c>
      <c r="C40">
        <f>IF(Лист1!G41="за",Лист1!$D41,0)</f>
        <v>0</v>
      </c>
      <c r="D40">
        <f>IF(Лист1!H41="за",Лист1!$D41,0)</f>
        <v>0</v>
      </c>
      <c r="E40">
        <f>IF(Лист1!I41="за",Лист1!$D41,0)</f>
        <v>0</v>
      </c>
      <c r="F40">
        <f>IF(Лист1!J41="за",Лист1!$D41,0)</f>
        <v>0</v>
      </c>
      <c r="G40">
        <f>IF(Лист1!K41="за",Лист1!$D41,0)</f>
        <v>0</v>
      </c>
      <c r="H40">
        <f>IF(Лист1!L41="за",Лист1!$D41,0)</f>
        <v>0</v>
      </c>
      <c r="I40">
        <f>IF(Лист1!M41="за",Лист1!$D41,0)</f>
        <v>0</v>
      </c>
      <c r="J40">
        <f>IF(Лист1!N41="за",Лист1!$D41,0)</f>
        <v>0</v>
      </c>
      <c r="K40">
        <f>IF(Лист1!O41="за",Лист1!$D41,0)</f>
        <v>0</v>
      </c>
      <c r="L40">
        <f>IF(Лист1!P41="за",Лист1!$D41,0)</f>
        <v>0</v>
      </c>
    </row>
    <row r="41" spans="1:12" x14ac:dyDescent="0.25">
      <c r="A41">
        <f>IF(Лист1!E42="за",Лист1!$D42,0)</f>
        <v>0</v>
      </c>
      <c r="B41">
        <f>IF(Лист1!F42="за",Лист1!$D42,0)</f>
        <v>0</v>
      </c>
      <c r="C41">
        <f>IF(Лист1!G42="за",Лист1!$D42,0)</f>
        <v>0</v>
      </c>
      <c r="D41">
        <f>IF(Лист1!H42="за",Лист1!$D42,0)</f>
        <v>0</v>
      </c>
      <c r="E41">
        <f>IF(Лист1!I42="за",Лист1!$D42,0)</f>
        <v>0</v>
      </c>
      <c r="F41">
        <f>IF(Лист1!J42="за",Лист1!$D42,0)</f>
        <v>0</v>
      </c>
      <c r="G41">
        <f>IF(Лист1!K42="за",Лист1!$D42,0)</f>
        <v>0</v>
      </c>
      <c r="H41">
        <f>IF(Лист1!L42="за",Лист1!$D42,0)</f>
        <v>0</v>
      </c>
      <c r="I41">
        <f>IF(Лист1!M42="за",Лист1!$D42,0)</f>
        <v>0</v>
      </c>
      <c r="J41">
        <f>IF(Лист1!N42="за",Лист1!$D42,0)</f>
        <v>0</v>
      </c>
      <c r="K41">
        <f>IF(Лист1!O42="за",Лист1!$D42,0)</f>
        <v>0</v>
      </c>
      <c r="L41">
        <f>IF(Лист1!P42="за",Лист1!$D42,0)</f>
        <v>0</v>
      </c>
    </row>
    <row r="42" spans="1:12" x14ac:dyDescent="0.25">
      <c r="A42">
        <f>IF(Лист1!E43="за",Лист1!$D43,0)</f>
        <v>2.0699999999999998</v>
      </c>
      <c r="B42">
        <f>IF(Лист1!F43="за",Лист1!$D43,0)</f>
        <v>2.0699999999999998</v>
      </c>
      <c r="C42">
        <f>IF(Лист1!G43="за",Лист1!$D43,0)</f>
        <v>2.0699999999999998</v>
      </c>
      <c r="D42">
        <f>IF(Лист1!H43="за",Лист1!$D43,0)</f>
        <v>2.0699999999999998</v>
      </c>
      <c r="E42">
        <f>IF(Лист1!I43="за",Лист1!$D43,0)</f>
        <v>2.0699999999999998</v>
      </c>
      <c r="F42">
        <f>IF(Лист1!J43="за",Лист1!$D43,0)</f>
        <v>2.0699999999999998</v>
      </c>
      <c r="G42">
        <f>IF(Лист1!K43="за",Лист1!$D43,0)</f>
        <v>2.0699999999999998</v>
      </c>
      <c r="H42">
        <f>IF(Лист1!L43="за",Лист1!$D43,0)</f>
        <v>2.0699999999999998</v>
      </c>
      <c r="I42">
        <f>IF(Лист1!M43="за",Лист1!$D43,0)</f>
        <v>2.0699999999999998</v>
      </c>
      <c r="J42">
        <f>IF(Лист1!N43="за",Лист1!$D43,0)</f>
        <v>2.0699999999999998</v>
      </c>
      <c r="K42">
        <f>IF(Лист1!O43="за",Лист1!$D43,0)</f>
        <v>2.0699999999999998</v>
      </c>
      <c r="L42">
        <f>IF(Лист1!P43="за",Лист1!$D43,0)</f>
        <v>2.0699999999999998</v>
      </c>
    </row>
    <row r="43" spans="1:12" x14ac:dyDescent="0.25">
      <c r="A43">
        <f>IF(Лист1!E44="за",Лист1!$D44,0)</f>
        <v>2.0499999999999998</v>
      </c>
      <c r="B43">
        <f>IF(Лист1!F44="за",Лист1!$D44,0)</f>
        <v>2.0499999999999998</v>
      </c>
      <c r="C43">
        <f>IF(Лист1!G44="за",Лист1!$D44,0)</f>
        <v>2.0499999999999998</v>
      </c>
      <c r="D43">
        <f>IF(Лист1!H44="за",Лист1!$D44,0)</f>
        <v>2.0499999999999998</v>
      </c>
      <c r="E43">
        <f>IF(Лист1!I44="за",Лист1!$D44,0)</f>
        <v>2.0499999999999998</v>
      </c>
      <c r="F43">
        <f>IF(Лист1!J44="за",Лист1!$D44,0)</f>
        <v>2.0499999999999998</v>
      </c>
      <c r="G43">
        <f>IF(Лист1!K44="за",Лист1!$D44,0)</f>
        <v>2.0499999999999998</v>
      </c>
      <c r="H43">
        <f>IF(Лист1!L44="за",Лист1!$D44,0)</f>
        <v>0</v>
      </c>
      <c r="I43">
        <f>IF(Лист1!M44="за",Лист1!$D44,0)</f>
        <v>0</v>
      </c>
      <c r="J43">
        <f>IF(Лист1!N44="за",Лист1!$D44,0)</f>
        <v>0</v>
      </c>
      <c r="K43">
        <f>IF(Лист1!O44="за",Лист1!$D44,0)</f>
        <v>2.0499999999999998</v>
      </c>
      <c r="L43">
        <f>IF(Лист1!P44="за",Лист1!$D44,0)</f>
        <v>2.0499999999999998</v>
      </c>
    </row>
    <row r="44" spans="1:12" x14ac:dyDescent="0.25">
      <c r="A44">
        <f>IF(Лист1!E45="за",Лист1!$D45,0)</f>
        <v>2.98</v>
      </c>
      <c r="B44">
        <f>IF(Лист1!F45="за",Лист1!$D45,0)</f>
        <v>2.98</v>
      </c>
      <c r="C44">
        <f>IF(Лист1!G45="за",Лист1!$D45,0)</f>
        <v>2.98</v>
      </c>
      <c r="D44">
        <f>IF(Лист1!H45="за",Лист1!$D45,0)</f>
        <v>2.98</v>
      </c>
      <c r="E44">
        <f>IF(Лист1!I45="за",Лист1!$D45,0)</f>
        <v>2.98</v>
      </c>
      <c r="F44">
        <f>IF(Лист1!J45="за",Лист1!$D45,0)</f>
        <v>2.98</v>
      </c>
      <c r="G44">
        <f>IF(Лист1!K45="за",Лист1!$D45,0)</f>
        <v>2.98</v>
      </c>
      <c r="H44">
        <f>IF(Лист1!L45="за",Лист1!$D45,0)</f>
        <v>0</v>
      </c>
      <c r="I44">
        <f>IF(Лист1!M45="за",Лист1!$D45,0)</f>
        <v>0</v>
      </c>
      <c r="J44">
        <f>IF(Лист1!N45="за",Лист1!$D45,0)</f>
        <v>0</v>
      </c>
      <c r="K44">
        <f>IF(Лист1!O45="за",Лист1!$D45,0)</f>
        <v>2.98</v>
      </c>
      <c r="L44">
        <f>IF(Лист1!P45="за",Лист1!$D45,0)</f>
        <v>2.98</v>
      </c>
    </row>
    <row r="45" spans="1:12" x14ac:dyDescent="0.25">
      <c r="A45">
        <f>IF(Лист1!E46="за",Лист1!$D46,0)</f>
        <v>2.93</v>
      </c>
      <c r="B45">
        <f>IF(Лист1!F46="за",Лист1!$D46,0)</f>
        <v>2.93</v>
      </c>
      <c r="C45">
        <f>IF(Лист1!G46="за",Лист1!$D46,0)</f>
        <v>2.93</v>
      </c>
      <c r="D45">
        <f>IF(Лист1!H46="за",Лист1!$D46,0)</f>
        <v>2.93</v>
      </c>
      <c r="E45">
        <f>IF(Лист1!I46="за",Лист1!$D46,0)</f>
        <v>2.93</v>
      </c>
      <c r="F45">
        <f>IF(Лист1!J46="за",Лист1!$D46,0)</f>
        <v>2.93</v>
      </c>
      <c r="G45">
        <f>IF(Лист1!K46="за",Лист1!$D46,0)</f>
        <v>2.93</v>
      </c>
      <c r="H45">
        <f>IF(Лист1!L46="за",Лист1!$D46,0)</f>
        <v>2.93</v>
      </c>
      <c r="I45">
        <f>IF(Лист1!M46="за",Лист1!$D46,0)</f>
        <v>2.93</v>
      </c>
      <c r="J45">
        <f>IF(Лист1!N46="за",Лист1!$D46,0)</f>
        <v>2.93</v>
      </c>
      <c r="K45">
        <f>IF(Лист1!O46="за",Лист1!$D46,0)</f>
        <v>2.93</v>
      </c>
      <c r="L45">
        <f>IF(Лист1!P46="за",Лист1!$D46,0)</f>
        <v>2.93</v>
      </c>
    </row>
    <row r="46" spans="1:12" x14ac:dyDescent="0.25">
      <c r="A46">
        <f>IF(Лист1!E47="за",Лист1!$D47,0)</f>
        <v>2.0299999999999998</v>
      </c>
      <c r="B46">
        <f>IF(Лист1!F47="за",Лист1!$D47,0)</f>
        <v>2.0299999999999998</v>
      </c>
      <c r="C46">
        <f>IF(Лист1!G47="за",Лист1!$D47,0)</f>
        <v>2.0299999999999998</v>
      </c>
      <c r="D46">
        <f>IF(Лист1!H47="за",Лист1!$D47,0)</f>
        <v>2.0299999999999998</v>
      </c>
      <c r="E46">
        <f>IF(Лист1!I47="за",Лист1!$D47,0)</f>
        <v>0</v>
      </c>
      <c r="F46">
        <f>IF(Лист1!J47="за",Лист1!$D47,0)</f>
        <v>2.0299999999999998</v>
      </c>
      <c r="G46">
        <f>IF(Лист1!K47="за",Лист1!$D47,0)</f>
        <v>2.0299999999999998</v>
      </c>
      <c r="H46">
        <f>IF(Лист1!L47="за",Лист1!$D47,0)</f>
        <v>0</v>
      </c>
      <c r="I46">
        <f>IF(Лист1!M47="за",Лист1!$D47,0)</f>
        <v>0</v>
      </c>
      <c r="J46">
        <f>IF(Лист1!N47="за",Лист1!$D47,0)</f>
        <v>0</v>
      </c>
      <c r="K46">
        <f>IF(Лист1!O47="за",Лист1!$D47,0)</f>
        <v>2.0299999999999998</v>
      </c>
      <c r="L46">
        <f>IF(Лист1!P47="за",Лист1!$D47,0)</f>
        <v>2.0299999999999998</v>
      </c>
    </row>
    <row r="47" spans="1:12" x14ac:dyDescent="0.25">
      <c r="A47">
        <f>IF(Лист1!E48="за",Лист1!$D48,0)</f>
        <v>0</v>
      </c>
      <c r="B47">
        <f>IF(Лист1!F48="за",Лист1!$D48,0)</f>
        <v>0</v>
      </c>
      <c r="C47">
        <f>IF(Лист1!G48="за",Лист1!$D48,0)</f>
        <v>0</v>
      </c>
      <c r="D47">
        <f>IF(Лист1!H48="за",Лист1!$D48,0)</f>
        <v>0</v>
      </c>
      <c r="E47">
        <f>IF(Лист1!I48="за",Лист1!$D48,0)</f>
        <v>0</v>
      </c>
      <c r="F47">
        <f>IF(Лист1!J48="за",Лист1!$D48,0)</f>
        <v>0</v>
      </c>
      <c r="G47">
        <f>IF(Лист1!K48="за",Лист1!$D48,0)</f>
        <v>0</v>
      </c>
      <c r="H47">
        <f>IF(Лист1!L48="за",Лист1!$D48,0)</f>
        <v>0</v>
      </c>
      <c r="I47">
        <f>IF(Лист1!M48="за",Лист1!$D48,0)</f>
        <v>0</v>
      </c>
      <c r="J47">
        <f>IF(Лист1!N48="за",Лист1!$D48,0)</f>
        <v>0</v>
      </c>
      <c r="K47">
        <f>IF(Лист1!O48="за",Лист1!$D48,0)</f>
        <v>0</v>
      </c>
      <c r="L47">
        <f>IF(Лист1!P48="за",Лист1!$D48,0)</f>
        <v>0</v>
      </c>
    </row>
    <row r="48" spans="1:12" x14ac:dyDescent="0.25">
      <c r="A48">
        <f>IF(Лист1!E49="за",Лист1!$D49,0)</f>
        <v>2.95</v>
      </c>
      <c r="B48">
        <f>IF(Лист1!F49="за",Лист1!$D49,0)</f>
        <v>2.95</v>
      </c>
      <c r="C48">
        <f>IF(Лист1!G49="за",Лист1!$D49,0)</f>
        <v>2.95</v>
      </c>
      <c r="D48">
        <f>IF(Лист1!H49="за",Лист1!$D49,0)</f>
        <v>2.95</v>
      </c>
      <c r="E48">
        <f>IF(Лист1!I49="за",Лист1!$D49,0)</f>
        <v>2.95</v>
      </c>
      <c r="F48">
        <f>IF(Лист1!J49="за",Лист1!$D49,0)</f>
        <v>2.95</v>
      </c>
      <c r="G48">
        <f>IF(Лист1!K49="за",Лист1!$D49,0)</f>
        <v>2.95</v>
      </c>
      <c r="H48">
        <f>IF(Лист1!L49="за",Лист1!$D49,0)</f>
        <v>2.95</v>
      </c>
      <c r="I48">
        <f>IF(Лист1!M49="за",Лист1!$D49,0)</f>
        <v>2.95</v>
      </c>
      <c r="J48">
        <f>IF(Лист1!N49="за",Лист1!$D49,0)</f>
        <v>2.95</v>
      </c>
      <c r="K48">
        <f>IF(Лист1!O49="за",Лист1!$D49,0)</f>
        <v>2.95</v>
      </c>
      <c r="L48">
        <f>IF(Лист1!P49="за",Лист1!$D49,0)</f>
        <v>2.95</v>
      </c>
    </row>
    <row r="49" spans="1:12" x14ac:dyDescent="0.25">
      <c r="A49">
        <f>IF(Лист1!E50="за",Лист1!$D50,0)</f>
        <v>2.93</v>
      </c>
      <c r="B49">
        <f>IF(Лист1!F50="за",Лист1!$D50,0)</f>
        <v>2.93</v>
      </c>
      <c r="C49">
        <f>IF(Лист1!G50="за",Лист1!$D50,0)</f>
        <v>2.93</v>
      </c>
      <c r="D49">
        <f>IF(Лист1!H50="за",Лист1!$D50,0)</f>
        <v>2.93</v>
      </c>
      <c r="E49">
        <f>IF(Лист1!I50="за",Лист1!$D50,0)</f>
        <v>2.93</v>
      </c>
      <c r="F49">
        <f>IF(Лист1!J50="за",Лист1!$D50,0)</f>
        <v>2.93</v>
      </c>
      <c r="G49">
        <f>IF(Лист1!K50="за",Лист1!$D50,0)</f>
        <v>2.93</v>
      </c>
      <c r="H49">
        <f>IF(Лист1!L50="за",Лист1!$D50,0)</f>
        <v>2.93</v>
      </c>
      <c r="I49">
        <f>IF(Лист1!M50="за",Лист1!$D50,0)</f>
        <v>2.93</v>
      </c>
      <c r="J49">
        <f>IF(Лист1!N50="за",Лист1!$D50,0)</f>
        <v>2.93</v>
      </c>
      <c r="K49">
        <f>IF(Лист1!O50="за",Лист1!$D50,0)</f>
        <v>2.93</v>
      </c>
      <c r="L49">
        <f>IF(Лист1!P50="за",Лист1!$D50,0)</f>
        <v>2.93</v>
      </c>
    </row>
    <row r="50" spans="1:12" x14ac:dyDescent="0.25">
      <c r="A50">
        <f>IF(Лист1!E51="за",Лист1!$D51,0)</f>
        <v>0</v>
      </c>
      <c r="B50">
        <f>IF(Лист1!F51="за",Лист1!$D51,0)</f>
        <v>0</v>
      </c>
      <c r="C50">
        <f>IF(Лист1!G51="за",Лист1!$D51,0)</f>
        <v>0</v>
      </c>
      <c r="D50">
        <f>IF(Лист1!H51="за",Лист1!$D51,0)</f>
        <v>0</v>
      </c>
      <c r="E50">
        <f>IF(Лист1!I51="за",Лист1!$D51,0)</f>
        <v>0</v>
      </c>
      <c r="F50">
        <f>IF(Лист1!J51="за",Лист1!$D51,0)</f>
        <v>0</v>
      </c>
      <c r="G50">
        <f>IF(Лист1!K51="за",Лист1!$D51,0)</f>
        <v>0</v>
      </c>
      <c r="H50">
        <f>IF(Лист1!L51="за",Лист1!$D51,0)</f>
        <v>0</v>
      </c>
      <c r="I50">
        <f>IF(Лист1!M51="за",Лист1!$D51,0)</f>
        <v>0</v>
      </c>
      <c r="J50">
        <f>IF(Лист1!N51="за",Лист1!$D51,0)</f>
        <v>0</v>
      </c>
      <c r="K50">
        <f>IF(Лист1!O51="за",Лист1!$D51,0)</f>
        <v>0</v>
      </c>
      <c r="L50">
        <f>IF(Лист1!P51="за",Лист1!$D51,0)</f>
        <v>0</v>
      </c>
    </row>
    <row r="51" spans="1:12" x14ac:dyDescent="0.25">
      <c r="A51">
        <f>IF(Лист1!E52="за",Лист1!$D52,0)</f>
        <v>1.01</v>
      </c>
      <c r="B51">
        <f>IF(Лист1!F52="за",Лист1!$D52,0)</f>
        <v>1.01</v>
      </c>
      <c r="C51">
        <f>IF(Лист1!G52="за",Лист1!$D52,0)</f>
        <v>1.01</v>
      </c>
      <c r="D51">
        <f>IF(Лист1!H52="за",Лист1!$D52,0)</f>
        <v>1.01</v>
      </c>
      <c r="E51">
        <f>IF(Лист1!I52="за",Лист1!$D52,0)</f>
        <v>1.01</v>
      </c>
      <c r="F51">
        <f>IF(Лист1!J52="за",Лист1!$D52,0)</f>
        <v>1.01</v>
      </c>
      <c r="G51">
        <f>IF(Лист1!K52="за",Лист1!$D52,0)</f>
        <v>1.01</v>
      </c>
      <c r="H51">
        <f>IF(Лист1!L52="за",Лист1!$D52,0)</f>
        <v>0</v>
      </c>
      <c r="I51">
        <f>IF(Лист1!M52="за",Лист1!$D52,0)</f>
        <v>0</v>
      </c>
      <c r="J51">
        <f>IF(Лист1!N52="за",Лист1!$D52,0)</f>
        <v>0</v>
      </c>
      <c r="K51">
        <f>IF(Лист1!O52="за",Лист1!$D52,0)</f>
        <v>1.01</v>
      </c>
      <c r="L51">
        <f>IF(Лист1!P52="за",Лист1!$D52,0)</f>
        <v>0</v>
      </c>
    </row>
    <row r="52" spans="1:12" x14ac:dyDescent="0.25">
      <c r="A52">
        <f>IF(Лист1!E53="за",Лист1!$D53,0)</f>
        <v>1.01</v>
      </c>
      <c r="B52">
        <f>IF(Лист1!F53="за",Лист1!$D53,0)</f>
        <v>1.01</v>
      </c>
      <c r="C52">
        <f>IF(Лист1!G53="за",Лист1!$D53,0)</f>
        <v>1.01</v>
      </c>
      <c r="D52">
        <f>IF(Лист1!H53="за",Лист1!$D53,0)</f>
        <v>1.01</v>
      </c>
      <c r="E52">
        <f>IF(Лист1!I53="за",Лист1!$D53,0)</f>
        <v>1.01</v>
      </c>
      <c r="F52">
        <f>IF(Лист1!J53="за",Лист1!$D53,0)</f>
        <v>1.01</v>
      </c>
      <c r="G52">
        <f>IF(Лист1!K53="за",Лист1!$D53,0)</f>
        <v>1.01</v>
      </c>
      <c r="H52">
        <f>IF(Лист1!L53="за",Лист1!$D53,0)</f>
        <v>0</v>
      </c>
      <c r="I52">
        <f>IF(Лист1!M53="за",Лист1!$D53,0)</f>
        <v>0</v>
      </c>
      <c r="J52">
        <f>IF(Лист1!N53="за",Лист1!$D53,0)</f>
        <v>0</v>
      </c>
      <c r="K52">
        <f>IF(Лист1!O53="за",Лист1!$D53,0)</f>
        <v>1.01</v>
      </c>
      <c r="L52">
        <f>IF(Лист1!P53="за",Лист1!$D53,0)</f>
        <v>0</v>
      </c>
    </row>
    <row r="53" spans="1:12" x14ac:dyDescent="0.25">
      <c r="A53">
        <f>IF(Лист1!E54="за",Лист1!$D54,0)</f>
        <v>0</v>
      </c>
      <c r="B53">
        <f>IF(Лист1!F54="за",Лист1!$D54,0)</f>
        <v>0</v>
      </c>
      <c r="C53">
        <f>IF(Лист1!G54="за",Лист1!$D54,0)</f>
        <v>0</v>
      </c>
      <c r="D53">
        <f>IF(Лист1!H54="за",Лист1!$D54,0)</f>
        <v>0</v>
      </c>
      <c r="E53">
        <f>IF(Лист1!I54="за",Лист1!$D54,0)</f>
        <v>0</v>
      </c>
      <c r="F53">
        <f>IF(Лист1!J54="за",Лист1!$D54,0)</f>
        <v>0</v>
      </c>
      <c r="G53">
        <f>IF(Лист1!K54="за",Лист1!$D54,0)</f>
        <v>0</v>
      </c>
      <c r="H53">
        <f>IF(Лист1!L54="за",Лист1!$D54,0)</f>
        <v>0</v>
      </c>
      <c r="I53">
        <f>IF(Лист1!M54="за",Лист1!$D54,0)</f>
        <v>0</v>
      </c>
      <c r="J53">
        <f>IF(Лист1!N54="за",Лист1!$D54,0)</f>
        <v>0</v>
      </c>
      <c r="K53">
        <f>IF(Лист1!O54="за",Лист1!$D54,0)</f>
        <v>0</v>
      </c>
      <c r="L53">
        <f>IF(Лист1!P54="за",Лист1!$D54,0)</f>
        <v>0</v>
      </c>
    </row>
    <row r="54" spans="1:12" x14ac:dyDescent="0.25">
      <c r="A54">
        <f>IF(Лист1!E55="за",Лист1!$D55,0)</f>
        <v>0</v>
      </c>
      <c r="B54">
        <f>IF(Лист1!F55="за",Лист1!$D55,0)</f>
        <v>0</v>
      </c>
      <c r="C54">
        <f>IF(Лист1!G55="за",Лист1!$D55,0)</f>
        <v>0</v>
      </c>
      <c r="D54">
        <f>IF(Лист1!H55="за",Лист1!$D55,0)</f>
        <v>0</v>
      </c>
      <c r="E54">
        <f>IF(Лист1!I55="за",Лист1!$D55,0)</f>
        <v>0</v>
      </c>
      <c r="F54">
        <f>IF(Лист1!J55="за",Лист1!$D55,0)</f>
        <v>0</v>
      </c>
      <c r="G54">
        <f>IF(Лист1!K55="за",Лист1!$D55,0)</f>
        <v>0</v>
      </c>
      <c r="H54">
        <f>IF(Лист1!L55="за",Лист1!$D55,0)</f>
        <v>0</v>
      </c>
      <c r="I54">
        <f>IF(Лист1!M55="за",Лист1!$D55,0)</f>
        <v>0</v>
      </c>
      <c r="J54">
        <f>IF(Лист1!N55="за",Лист1!$D55,0)</f>
        <v>0</v>
      </c>
      <c r="K54">
        <f>IF(Лист1!O55="за",Лист1!$D55,0)</f>
        <v>0</v>
      </c>
      <c r="L54">
        <f>IF(Лист1!P55="за",Лист1!$D55,0)</f>
        <v>0</v>
      </c>
    </row>
    <row r="55" spans="1:12" x14ac:dyDescent="0.25">
      <c r="A55">
        <f>IF(Лист1!E56="за",Лист1!$D56,0)</f>
        <v>2</v>
      </c>
      <c r="B55">
        <f>IF(Лист1!F56="за",Лист1!$D56,0)</f>
        <v>2</v>
      </c>
      <c r="C55">
        <f>IF(Лист1!G56="за",Лист1!$D56,0)</f>
        <v>2</v>
      </c>
      <c r="D55">
        <f>IF(Лист1!H56="за",Лист1!$D56,0)</f>
        <v>2</v>
      </c>
      <c r="E55">
        <f>IF(Лист1!I56="за",Лист1!$D56,0)</f>
        <v>2</v>
      </c>
      <c r="F55">
        <f>IF(Лист1!J56="за",Лист1!$D56,0)</f>
        <v>2</v>
      </c>
      <c r="G55">
        <f>IF(Лист1!K56="за",Лист1!$D56,0)</f>
        <v>2</v>
      </c>
      <c r="H55">
        <f>IF(Лист1!L56="за",Лист1!$D56,0)</f>
        <v>0</v>
      </c>
      <c r="I55">
        <f>IF(Лист1!M56="за",Лист1!$D56,0)</f>
        <v>0</v>
      </c>
      <c r="J55">
        <f>IF(Лист1!N56="за",Лист1!$D56,0)</f>
        <v>0</v>
      </c>
      <c r="K55">
        <f>IF(Лист1!O56="за",Лист1!$D56,0)</f>
        <v>2</v>
      </c>
      <c r="L55">
        <f>IF(Лист1!P56="за",Лист1!$D56,0)</f>
        <v>0</v>
      </c>
    </row>
    <row r="56" spans="1:12" x14ac:dyDescent="0.25">
      <c r="A56">
        <f>IF(Лист1!E57="за",Лист1!$D57,0)</f>
        <v>0</v>
      </c>
      <c r="B56">
        <f>IF(Лист1!F57="за",Лист1!$D57,0)</f>
        <v>0</v>
      </c>
      <c r="C56">
        <f>IF(Лист1!G57="за",Лист1!$D57,0)</f>
        <v>0</v>
      </c>
      <c r="D56">
        <f>IF(Лист1!H57="за",Лист1!$D57,0)</f>
        <v>0</v>
      </c>
      <c r="E56">
        <f>IF(Лист1!I57="за",Лист1!$D57,0)</f>
        <v>0</v>
      </c>
      <c r="F56">
        <f>IF(Лист1!J57="за",Лист1!$D57,0)</f>
        <v>0</v>
      </c>
      <c r="G56">
        <f>IF(Лист1!K57="за",Лист1!$D57,0)</f>
        <v>0</v>
      </c>
      <c r="H56">
        <f>IF(Лист1!L57="за",Лист1!$D57,0)</f>
        <v>0</v>
      </c>
      <c r="I56">
        <f>IF(Лист1!M57="за",Лист1!$D57,0)</f>
        <v>0</v>
      </c>
      <c r="J56">
        <f>IF(Лист1!N57="за",Лист1!$D57,0)</f>
        <v>0</v>
      </c>
      <c r="K56">
        <f>IF(Лист1!O57="за",Лист1!$D57,0)</f>
        <v>0</v>
      </c>
      <c r="L56">
        <f>IF(Лист1!P57="за",Лист1!$D57,0)</f>
        <v>0</v>
      </c>
    </row>
    <row r="57" spans="1:12" x14ac:dyDescent="0.25">
      <c r="A57">
        <f>IF(Лист1!E58="за",Лист1!$D58,0)</f>
        <v>2.89</v>
      </c>
      <c r="B57">
        <f>IF(Лист1!F58="за",Лист1!$D58,0)</f>
        <v>2.89</v>
      </c>
      <c r="C57">
        <f>IF(Лист1!G58="за",Лист1!$D58,0)</f>
        <v>2.89</v>
      </c>
      <c r="D57">
        <f>IF(Лист1!H58="за",Лист1!$D58,0)</f>
        <v>2.89</v>
      </c>
      <c r="E57">
        <f>IF(Лист1!I58="за",Лист1!$D58,0)</f>
        <v>2.89</v>
      </c>
      <c r="F57">
        <f>IF(Лист1!J58="за",Лист1!$D58,0)</f>
        <v>2.89</v>
      </c>
      <c r="G57">
        <f>IF(Лист1!K58="за",Лист1!$D58,0)</f>
        <v>2.89</v>
      </c>
      <c r="H57">
        <f>IF(Лист1!L58="за",Лист1!$D58,0)</f>
        <v>2.89</v>
      </c>
      <c r="I57">
        <f>IF(Лист1!M58="за",Лист1!$D58,0)</f>
        <v>2.89</v>
      </c>
      <c r="J57">
        <f>IF(Лист1!N58="за",Лист1!$D58,0)</f>
        <v>2.89</v>
      </c>
      <c r="K57">
        <f>IF(Лист1!O58="за",Лист1!$D58,0)</f>
        <v>2.89</v>
      </c>
      <c r="L57">
        <f>IF(Лист1!P58="за",Лист1!$D58,0)</f>
        <v>2.89</v>
      </c>
    </row>
    <row r="58" spans="1:12" x14ac:dyDescent="0.25">
      <c r="A58">
        <f>SUM(A1:A57)</f>
        <v>56.99</v>
      </c>
      <c r="B58">
        <f t="shared" ref="B58:L58" si="0">SUM(B1:B57)</f>
        <v>55.789999999999992</v>
      </c>
      <c r="C58">
        <f t="shared" si="0"/>
        <v>53.97</v>
      </c>
      <c r="D58">
        <f t="shared" si="0"/>
        <v>55.969999999999992</v>
      </c>
      <c r="E58">
        <f t="shared" si="0"/>
        <v>48.68</v>
      </c>
      <c r="F58">
        <f t="shared" si="0"/>
        <v>53.97</v>
      </c>
      <c r="G58">
        <f t="shared" si="0"/>
        <v>58.99</v>
      </c>
      <c r="H58">
        <f t="shared" si="0"/>
        <v>25.38</v>
      </c>
      <c r="I58">
        <f t="shared" si="0"/>
        <v>25.38</v>
      </c>
      <c r="J58">
        <f t="shared" si="0"/>
        <v>27.53</v>
      </c>
      <c r="K58">
        <f t="shared" si="0"/>
        <v>61.140000000000008</v>
      </c>
      <c r="L58">
        <f t="shared" si="0"/>
        <v>49.71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opLeftCell="A46" workbookViewId="0">
      <selection activeCell="A58" sqref="A58:L58"/>
    </sheetView>
  </sheetViews>
  <sheetFormatPr defaultRowHeight="15" x14ac:dyDescent="0.25"/>
  <sheetData>
    <row r="1" spans="1:12" x14ac:dyDescent="0.25">
      <c r="A1">
        <f>IF(Лист1!E2="против",Лист1!$D2,0)</f>
        <v>0</v>
      </c>
      <c r="B1">
        <f>IF(Лист1!F2="против",Лист1!$D2,0)</f>
        <v>0</v>
      </c>
      <c r="C1">
        <f>IF(Лист1!G2="против",Лист1!$D2,0)</f>
        <v>0</v>
      </c>
      <c r="D1">
        <f>IF(Лист1!H2="против",Лист1!$D2,0)</f>
        <v>0</v>
      </c>
      <c r="E1">
        <f>IF(Лист1!I2="против",Лист1!$D2,0)</f>
        <v>0</v>
      </c>
      <c r="F1">
        <f>IF(Лист1!J2="против",Лист1!$D2,0)</f>
        <v>0</v>
      </c>
      <c r="G1">
        <f>IF(Лист1!K2="против",Лист1!$D2,0)</f>
        <v>0</v>
      </c>
      <c r="H1">
        <f>IF(Лист1!L2="против",Лист1!$D2,0)</f>
        <v>1.63</v>
      </c>
      <c r="I1">
        <f>IF(Лист1!M2="против",Лист1!$D2,0)</f>
        <v>1.63</v>
      </c>
      <c r="J1">
        <f>IF(Лист1!N2="против",Лист1!$D2,0)</f>
        <v>0</v>
      </c>
      <c r="K1">
        <f>IF(Лист1!O2="против",Лист1!$D2,0)</f>
        <v>0</v>
      </c>
      <c r="L1">
        <f>IF(Лист1!P2="против",Лист1!$D2,0)</f>
        <v>1.63</v>
      </c>
    </row>
    <row r="2" spans="1:12" x14ac:dyDescent="0.25">
      <c r="A2">
        <f>IF(Лист1!E3="против",Лист1!$D3,0)</f>
        <v>0</v>
      </c>
      <c r="B2">
        <f>IF(Лист1!F3="против",Лист1!$D3,0)</f>
        <v>0</v>
      </c>
      <c r="C2">
        <f>IF(Лист1!G3="против",Лист1!$D3,0)</f>
        <v>0</v>
      </c>
      <c r="D2">
        <f>IF(Лист1!H3="против",Лист1!$D3,0)</f>
        <v>0</v>
      </c>
      <c r="E2">
        <f>IF(Лист1!I3="против",Лист1!$D3,0)</f>
        <v>0</v>
      </c>
      <c r="F2">
        <f>IF(Лист1!J3="против",Лист1!$D3,0)</f>
        <v>0</v>
      </c>
      <c r="G2">
        <f>IF(Лист1!K3="против",Лист1!$D3,0)</f>
        <v>0</v>
      </c>
      <c r="H2">
        <f>IF(Лист1!L3="против",Лист1!$D3,0)</f>
        <v>1.63</v>
      </c>
      <c r="I2">
        <f>IF(Лист1!M3="против",Лист1!$D3,0)</f>
        <v>1.63</v>
      </c>
      <c r="J2">
        <f>IF(Лист1!N3="против",Лист1!$D3,0)</f>
        <v>0</v>
      </c>
      <c r="K2">
        <f>IF(Лист1!O3="против",Лист1!$D3,0)</f>
        <v>0</v>
      </c>
      <c r="L2">
        <f>IF(Лист1!P3="против",Лист1!$D3,0)</f>
        <v>1.63</v>
      </c>
    </row>
    <row r="3" spans="1:12" x14ac:dyDescent="0.25">
      <c r="A3">
        <f>IF(Лист1!E4="против",Лист1!$D4,0)</f>
        <v>0</v>
      </c>
      <c r="B3">
        <f>IF(Лист1!F4="против",Лист1!$D4,0)</f>
        <v>0</v>
      </c>
      <c r="C3">
        <f>IF(Лист1!G4="против",Лист1!$D4,0)</f>
        <v>0</v>
      </c>
      <c r="D3">
        <f>IF(Лист1!H4="против",Лист1!$D4,0)</f>
        <v>0</v>
      </c>
      <c r="E3">
        <f>IF(Лист1!I4="против",Лист1!$D4,0)</f>
        <v>0</v>
      </c>
      <c r="F3">
        <f>IF(Лист1!J4="против",Лист1!$D4,0)</f>
        <v>0</v>
      </c>
      <c r="G3">
        <f>IF(Лист1!K4="против",Лист1!$D4,0)</f>
        <v>0</v>
      </c>
      <c r="H3">
        <f>IF(Лист1!L4="против",Лист1!$D4,0)</f>
        <v>2</v>
      </c>
      <c r="I3">
        <f>IF(Лист1!M4="против",Лист1!$D4,0)</f>
        <v>2</v>
      </c>
      <c r="J3">
        <f>IF(Лист1!N4="против",Лист1!$D4,0)</f>
        <v>2</v>
      </c>
      <c r="K3">
        <f>IF(Лист1!O4="против",Лист1!$D4,0)</f>
        <v>0</v>
      </c>
      <c r="L3">
        <f>IF(Лист1!P4="против",Лист1!$D4,0)</f>
        <v>0</v>
      </c>
    </row>
    <row r="4" spans="1:12" x14ac:dyDescent="0.25">
      <c r="A4">
        <f>IF(Лист1!E5="против",Лист1!$D5,0)</f>
        <v>0</v>
      </c>
      <c r="B4">
        <f>IF(Лист1!F5="против",Лист1!$D5,0)</f>
        <v>0</v>
      </c>
      <c r="C4">
        <f>IF(Лист1!G5="против",Лист1!$D5,0)</f>
        <v>0</v>
      </c>
      <c r="D4">
        <f>IF(Лист1!H5="против",Лист1!$D5,0)</f>
        <v>0</v>
      </c>
      <c r="E4">
        <f>IF(Лист1!I5="против",Лист1!$D5,0)</f>
        <v>0</v>
      </c>
      <c r="F4">
        <f>IF(Лист1!J5="против",Лист1!$D5,0)</f>
        <v>0</v>
      </c>
      <c r="G4">
        <f>IF(Лист1!K5="против",Лист1!$D5,0)</f>
        <v>0</v>
      </c>
      <c r="H4">
        <f>IF(Лист1!L5="против",Лист1!$D5,0)</f>
        <v>2.04</v>
      </c>
      <c r="I4">
        <f>IF(Лист1!M5="против",Лист1!$D5,0)</f>
        <v>2.04</v>
      </c>
      <c r="J4">
        <f>IF(Лист1!N5="против",Лист1!$D5,0)</f>
        <v>0</v>
      </c>
      <c r="K4">
        <f>IF(Лист1!O5="против",Лист1!$D5,0)</f>
        <v>0</v>
      </c>
      <c r="L4">
        <f>IF(Лист1!P5="против",Лист1!$D5,0)</f>
        <v>0</v>
      </c>
    </row>
    <row r="5" spans="1:12" x14ac:dyDescent="0.25">
      <c r="A5">
        <f>IF(Лист1!E6="против",Лист1!$D6,0)</f>
        <v>0</v>
      </c>
      <c r="B5">
        <f>IF(Лист1!F6="против",Лист1!$D6,0)</f>
        <v>0</v>
      </c>
      <c r="C5">
        <f>IF(Лист1!G6="против",Лист1!$D6,0)</f>
        <v>0</v>
      </c>
      <c r="D5">
        <f>IF(Лист1!H6="против",Лист1!$D6,0)</f>
        <v>0</v>
      </c>
      <c r="E5">
        <f>IF(Лист1!I6="против",Лист1!$D6,0)</f>
        <v>0</v>
      </c>
      <c r="F5">
        <f>IF(Лист1!J6="против",Лист1!$D6,0)</f>
        <v>0</v>
      </c>
      <c r="G5">
        <f>IF(Лист1!K6="против",Лист1!$D6,0)</f>
        <v>0</v>
      </c>
      <c r="H5">
        <f>IF(Лист1!L6="против",Лист1!$D6,0)</f>
        <v>1.51</v>
      </c>
      <c r="I5">
        <f>IF(Лист1!M6="против",Лист1!$D6,0)</f>
        <v>0</v>
      </c>
      <c r="J5">
        <f>IF(Лист1!N6="против",Лист1!$D6,0)</f>
        <v>0</v>
      </c>
      <c r="K5">
        <f>IF(Лист1!O6="против",Лист1!$D6,0)</f>
        <v>0</v>
      </c>
      <c r="L5">
        <f>IF(Лист1!P6="против",Лист1!$D6,0)</f>
        <v>0</v>
      </c>
    </row>
    <row r="6" spans="1:12" x14ac:dyDescent="0.25">
      <c r="A6">
        <f>IF(Лист1!E7="против",Лист1!$D7,0)</f>
        <v>0</v>
      </c>
      <c r="B6">
        <f>IF(Лист1!F7="против",Лист1!$D7,0)</f>
        <v>0</v>
      </c>
      <c r="C6">
        <f>IF(Лист1!G7="против",Лист1!$D7,0)</f>
        <v>0</v>
      </c>
      <c r="D6">
        <f>IF(Лист1!H7="против",Лист1!$D7,0)</f>
        <v>0</v>
      </c>
      <c r="E6">
        <f>IF(Лист1!I7="против",Лист1!$D7,0)</f>
        <v>0</v>
      </c>
      <c r="F6">
        <f>IF(Лист1!J7="против",Лист1!$D7,0)</f>
        <v>0</v>
      </c>
      <c r="G6">
        <f>IF(Лист1!K7="против",Лист1!$D7,0)</f>
        <v>0</v>
      </c>
      <c r="H6">
        <f>IF(Лист1!L7="против",Лист1!$D7,0)</f>
        <v>1.51</v>
      </c>
      <c r="I6">
        <f>IF(Лист1!M7="против",Лист1!$D7,0)</f>
        <v>0</v>
      </c>
      <c r="J6">
        <f>IF(Лист1!N7="против",Лист1!$D7,0)</f>
        <v>0</v>
      </c>
      <c r="K6">
        <f>IF(Лист1!O7="против",Лист1!$D7,0)</f>
        <v>0</v>
      </c>
      <c r="L6">
        <f>IF(Лист1!P7="против",Лист1!$D7,0)</f>
        <v>0</v>
      </c>
    </row>
    <row r="7" spans="1:12" x14ac:dyDescent="0.25">
      <c r="A7">
        <f>IF(Лист1!E8="против",Лист1!$D8,0)</f>
        <v>0</v>
      </c>
      <c r="B7">
        <f>IF(Лист1!F8="против",Лист1!$D8,0)</f>
        <v>0</v>
      </c>
      <c r="C7">
        <f>IF(Лист1!G8="против",Лист1!$D8,0)</f>
        <v>0</v>
      </c>
      <c r="D7">
        <f>IF(Лист1!H8="против",Лист1!$D8,0)</f>
        <v>0</v>
      </c>
      <c r="E7">
        <f>IF(Лист1!I8="против",Лист1!$D8,0)</f>
        <v>0</v>
      </c>
      <c r="F7">
        <f>IF(Лист1!J8="против",Лист1!$D8,0)</f>
        <v>0</v>
      </c>
      <c r="G7">
        <f>IF(Лист1!K8="против",Лист1!$D8,0)</f>
        <v>0</v>
      </c>
      <c r="H7">
        <f>IF(Лист1!L8="против",Лист1!$D8,0)</f>
        <v>0</v>
      </c>
      <c r="I7">
        <f>IF(Лист1!M8="против",Лист1!$D8,0)</f>
        <v>0</v>
      </c>
      <c r="J7">
        <f>IF(Лист1!N8="против",Лист1!$D8,0)</f>
        <v>0</v>
      </c>
      <c r="K7">
        <f>IF(Лист1!O8="против",Лист1!$D8,0)</f>
        <v>0</v>
      </c>
      <c r="L7">
        <f>IF(Лист1!P8="против",Лист1!$D8,0)</f>
        <v>0</v>
      </c>
    </row>
    <row r="8" spans="1:12" x14ac:dyDescent="0.25">
      <c r="A8">
        <f>IF(Лист1!E9="против",Лист1!$D9,0)</f>
        <v>0</v>
      </c>
      <c r="B8">
        <f>IF(Лист1!F9="против",Лист1!$D9,0)</f>
        <v>0</v>
      </c>
      <c r="C8">
        <f>IF(Лист1!G9="против",Лист1!$D9,0)</f>
        <v>0</v>
      </c>
      <c r="D8">
        <f>IF(Лист1!H9="против",Лист1!$D9,0)</f>
        <v>0</v>
      </c>
      <c r="E8">
        <f>IF(Лист1!I9="против",Лист1!$D9,0)</f>
        <v>0</v>
      </c>
      <c r="F8">
        <f>IF(Лист1!J9="против",Лист1!$D9,0)</f>
        <v>0</v>
      </c>
      <c r="G8">
        <f>IF(Лист1!K9="против",Лист1!$D9,0)</f>
        <v>0</v>
      </c>
      <c r="H8">
        <f>IF(Лист1!L9="против",Лист1!$D9,0)</f>
        <v>1.36</v>
      </c>
      <c r="I8">
        <f>IF(Лист1!M9="против",Лист1!$D9,0)</f>
        <v>1.36</v>
      </c>
      <c r="J8">
        <f>IF(Лист1!N9="против",Лист1!$D9,0)</f>
        <v>1.36</v>
      </c>
      <c r="K8">
        <f>IF(Лист1!O9="против",Лист1!$D9,0)</f>
        <v>0</v>
      </c>
      <c r="L8">
        <f>IF(Лист1!P9="против",Лист1!$D9,0)</f>
        <v>0</v>
      </c>
    </row>
    <row r="9" spans="1:12" x14ac:dyDescent="0.25">
      <c r="A9">
        <f>IF(Лист1!E10="против",Лист1!$D10,0)</f>
        <v>0</v>
      </c>
      <c r="B9">
        <f>IF(Лист1!F10="против",Лист1!$D10,0)</f>
        <v>0</v>
      </c>
      <c r="C9">
        <f>IF(Лист1!G10="против",Лист1!$D10,0)</f>
        <v>0</v>
      </c>
      <c r="D9">
        <f>IF(Лист1!H10="против",Лист1!$D10,0)</f>
        <v>0</v>
      </c>
      <c r="E9">
        <f>IF(Лист1!I10="против",Лист1!$D10,0)</f>
        <v>0</v>
      </c>
      <c r="F9">
        <f>IF(Лист1!J10="против",Лист1!$D10,0)</f>
        <v>0</v>
      </c>
      <c r="G9">
        <f>IF(Лист1!K10="против",Лист1!$D10,0)</f>
        <v>0</v>
      </c>
      <c r="H9">
        <f>IF(Лист1!L10="против",Лист1!$D10,0)</f>
        <v>1.36</v>
      </c>
      <c r="I9">
        <f>IF(Лист1!M10="против",Лист1!$D10,0)</f>
        <v>1.36</v>
      </c>
      <c r="J9">
        <f>IF(Лист1!N10="против",Лист1!$D10,0)</f>
        <v>1.36</v>
      </c>
      <c r="K9">
        <f>IF(Лист1!O10="против",Лист1!$D10,0)</f>
        <v>0</v>
      </c>
      <c r="L9">
        <f>IF(Лист1!P10="против",Лист1!$D10,0)</f>
        <v>0</v>
      </c>
    </row>
    <row r="10" spans="1:12" x14ac:dyDescent="0.25">
      <c r="A10">
        <f>IF(Лист1!E11="против",Лист1!$D11,0)</f>
        <v>0</v>
      </c>
      <c r="B10">
        <f>IF(Лист1!F11="против",Лист1!$D11,0)</f>
        <v>0</v>
      </c>
      <c r="C10">
        <f>IF(Лист1!G11="против",Лист1!$D11,0)</f>
        <v>0</v>
      </c>
      <c r="D10">
        <f>IF(Лист1!H11="против",Лист1!$D11,0)</f>
        <v>0</v>
      </c>
      <c r="E10">
        <f>IF(Лист1!I11="против",Лист1!$D11,0)</f>
        <v>0</v>
      </c>
      <c r="F10">
        <f>IF(Лист1!J11="против",Лист1!$D11,0)</f>
        <v>0</v>
      </c>
      <c r="G10">
        <f>IF(Лист1!K11="против",Лист1!$D11,0)</f>
        <v>0</v>
      </c>
      <c r="H10">
        <f>IF(Лист1!L11="против",Лист1!$D11,0)</f>
        <v>1.6</v>
      </c>
      <c r="I10">
        <f>IF(Лист1!M11="против",Лист1!$D11,0)</f>
        <v>1.6</v>
      </c>
      <c r="J10">
        <f>IF(Лист1!N11="против",Лист1!$D11,0)</f>
        <v>1.6</v>
      </c>
      <c r="K10">
        <f>IF(Лист1!O11="против",Лист1!$D11,0)</f>
        <v>0</v>
      </c>
      <c r="L10">
        <f>IF(Лист1!P11="против",Лист1!$D11,0)</f>
        <v>0</v>
      </c>
    </row>
    <row r="11" spans="1:12" x14ac:dyDescent="0.25">
      <c r="A11">
        <f>IF(Лист1!E12="против",Лист1!$D12,0)</f>
        <v>0</v>
      </c>
      <c r="B11">
        <f>IF(Лист1!F12="против",Лист1!$D12,0)</f>
        <v>0</v>
      </c>
      <c r="C11">
        <f>IF(Лист1!G12="против",Лист1!$D12,0)</f>
        <v>0</v>
      </c>
      <c r="D11">
        <f>IF(Лист1!H12="против",Лист1!$D12,0)</f>
        <v>0</v>
      </c>
      <c r="E11">
        <f>IF(Лист1!I12="против",Лист1!$D12,0)</f>
        <v>0</v>
      </c>
      <c r="F11">
        <f>IF(Лист1!J12="против",Лист1!$D12,0)</f>
        <v>0</v>
      </c>
      <c r="G11">
        <f>IF(Лист1!K12="против",Лист1!$D12,0)</f>
        <v>0</v>
      </c>
      <c r="H11">
        <f>IF(Лист1!L12="против",Лист1!$D12,0)</f>
        <v>1.6</v>
      </c>
      <c r="I11">
        <f>IF(Лист1!M12="против",Лист1!$D12,0)</f>
        <v>1.6</v>
      </c>
      <c r="J11">
        <f>IF(Лист1!N12="против",Лист1!$D12,0)</f>
        <v>1.6</v>
      </c>
      <c r="K11">
        <f>IF(Лист1!O12="против",Лист1!$D12,0)</f>
        <v>0</v>
      </c>
      <c r="L11">
        <f>IF(Лист1!P12="против",Лист1!$D12,0)</f>
        <v>0</v>
      </c>
    </row>
    <row r="12" spans="1:12" x14ac:dyDescent="0.25">
      <c r="A12">
        <f>IF(Лист1!E13="против",Лист1!$D13,0)</f>
        <v>0</v>
      </c>
      <c r="B12">
        <f>IF(Лист1!F13="против",Лист1!$D13,0)</f>
        <v>0</v>
      </c>
      <c r="C12">
        <f>IF(Лист1!G13="против",Лист1!$D13,0)</f>
        <v>0</v>
      </c>
      <c r="D12">
        <f>IF(Лист1!H13="против",Лист1!$D13,0)</f>
        <v>0</v>
      </c>
      <c r="E12">
        <f>IF(Лист1!I13="против",Лист1!$D13,0)</f>
        <v>0</v>
      </c>
      <c r="F12">
        <f>IF(Лист1!J13="против",Лист1!$D13,0)</f>
        <v>0</v>
      </c>
      <c r="G12">
        <f>IF(Лист1!K13="против",Лист1!$D13,0)</f>
        <v>0</v>
      </c>
      <c r="H12">
        <f>IF(Лист1!L13="против",Лист1!$D13,0)</f>
        <v>0</v>
      </c>
      <c r="I12">
        <f>IF(Лист1!M13="против",Лист1!$D13,0)</f>
        <v>0</v>
      </c>
      <c r="J12">
        <f>IF(Лист1!N13="против",Лист1!$D13,0)</f>
        <v>0</v>
      </c>
      <c r="K12">
        <f>IF(Лист1!O13="против",Лист1!$D13,0)</f>
        <v>0</v>
      </c>
      <c r="L12">
        <f>IF(Лист1!P13="против",Лист1!$D13,0)</f>
        <v>0</v>
      </c>
    </row>
    <row r="13" spans="1:12" x14ac:dyDescent="0.25">
      <c r="A13">
        <f>IF(Лист1!E14="против",Лист1!$D14,0)</f>
        <v>2</v>
      </c>
      <c r="B13">
        <f>IF(Лист1!F14="против",Лист1!$D14,0)</f>
        <v>0</v>
      </c>
      <c r="C13">
        <f>IF(Лист1!G14="против",Лист1!$D14,0)</f>
        <v>2</v>
      </c>
      <c r="D13">
        <f>IF(Лист1!H14="против",Лист1!$D14,0)</f>
        <v>0</v>
      </c>
      <c r="E13">
        <f>IF(Лист1!I14="против",Лист1!$D14,0)</f>
        <v>2</v>
      </c>
      <c r="F13">
        <f>IF(Лист1!J14="против",Лист1!$D14,0)</f>
        <v>2</v>
      </c>
      <c r="G13">
        <f>IF(Лист1!K14="против",Лист1!$D14,0)</f>
        <v>0</v>
      </c>
      <c r="H13">
        <f>IF(Лист1!L14="против",Лист1!$D14,0)</f>
        <v>2</v>
      </c>
      <c r="I13">
        <f>IF(Лист1!M14="против",Лист1!$D14,0)</f>
        <v>2</v>
      </c>
      <c r="J13">
        <f>IF(Лист1!N14="против",Лист1!$D14,0)</f>
        <v>2</v>
      </c>
      <c r="K13">
        <f>IF(Лист1!O14="против",Лист1!$D14,0)</f>
        <v>0</v>
      </c>
      <c r="L13">
        <f>IF(Лист1!P14="против",Лист1!$D14,0)</f>
        <v>2</v>
      </c>
    </row>
    <row r="14" spans="1:12" x14ac:dyDescent="0.25">
      <c r="A14">
        <f>IF(Лист1!E15="против",Лист1!$D15,0)</f>
        <v>0</v>
      </c>
      <c r="B14">
        <f>IF(Лист1!F15="против",Лист1!$D15,0)</f>
        <v>0</v>
      </c>
      <c r="C14">
        <f>IF(Лист1!G15="против",Лист1!$D15,0)</f>
        <v>0</v>
      </c>
      <c r="D14">
        <f>IF(Лист1!H15="против",Лист1!$D15,0)</f>
        <v>0</v>
      </c>
      <c r="E14">
        <f>IF(Лист1!I15="против",Лист1!$D15,0)</f>
        <v>0</v>
      </c>
      <c r="F14">
        <f>IF(Лист1!J15="против",Лист1!$D15,0)</f>
        <v>0</v>
      </c>
      <c r="G14">
        <f>IF(Лист1!K15="против",Лист1!$D15,0)</f>
        <v>0</v>
      </c>
      <c r="H14">
        <f>IF(Лист1!L15="против",Лист1!$D15,0)</f>
        <v>0</v>
      </c>
      <c r="I14">
        <f>IF(Лист1!M15="против",Лист1!$D15,0)</f>
        <v>0</v>
      </c>
      <c r="J14">
        <f>IF(Лист1!N15="против",Лист1!$D15,0)</f>
        <v>0</v>
      </c>
      <c r="K14">
        <f>IF(Лист1!O15="против",Лист1!$D15,0)</f>
        <v>0</v>
      </c>
      <c r="L14">
        <f>IF(Лист1!P15="против",Лист1!$D15,0)</f>
        <v>0</v>
      </c>
    </row>
    <row r="15" spans="1:12" x14ac:dyDescent="0.25">
      <c r="A15">
        <f>IF(Лист1!E16="против",Лист1!$D16,0)</f>
        <v>0</v>
      </c>
      <c r="B15">
        <f>IF(Лист1!F16="против",Лист1!$D16,0)</f>
        <v>0</v>
      </c>
      <c r="C15">
        <f>IF(Лист1!G16="против",Лист1!$D16,0)</f>
        <v>0</v>
      </c>
      <c r="D15">
        <f>IF(Лист1!H16="против",Лист1!$D16,0)</f>
        <v>0</v>
      </c>
      <c r="E15">
        <f>IF(Лист1!I16="против",Лист1!$D16,0)</f>
        <v>0</v>
      </c>
      <c r="F15">
        <f>IF(Лист1!J16="против",Лист1!$D16,0)</f>
        <v>0</v>
      </c>
      <c r="G15">
        <f>IF(Лист1!K16="против",Лист1!$D16,0)</f>
        <v>0</v>
      </c>
      <c r="H15">
        <f>IF(Лист1!L16="против",Лист1!$D16,0)</f>
        <v>0</v>
      </c>
      <c r="I15">
        <f>IF(Лист1!M16="против",Лист1!$D16,0)</f>
        <v>0</v>
      </c>
      <c r="J15">
        <f>IF(Лист1!N16="против",Лист1!$D16,0)</f>
        <v>0</v>
      </c>
      <c r="K15">
        <f>IF(Лист1!O16="против",Лист1!$D16,0)</f>
        <v>0</v>
      </c>
      <c r="L15">
        <f>IF(Лист1!P16="против",Лист1!$D16,0)</f>
        <v>0</v>
      </c>
    </row>
    <row r="16" spans="1:12" x14ac:dyDescent="0.25">
      <c r="A16">
        <f>IF(Лист1!E17="против",Лист1!$D17,0)</f>
        <v>0.43</v>
      </c>
      <c r="B16">
        <f>IF(Лист1!F17="против",Лист1!$D17,0)</f>
        <v>0</v>
      </c>
      <c r="C16">
        <f>IF(Лист1!G17="против",Лист1!$D17,0)</f>
        <v>0</v>
      </c>
      <c r="D16">
        <f>IF(Лист1!H17="против",Лист1!$D17,0)</f>
        <v>0</v>
      </c>
      <c r="E16">
        <f>IF(Лист1!I17="против",Лист1!$D17,0)</f>
        <v>0.43</v>
      </c>
      <c r="F16">
        <f>IF(Лист1!J17="против",Лист1!$D17,0)</f>
        <v>0.43</v>
      </c>
      <c r="G16">
        <f>IF(Лист1!K17="против",Лист1!$D17,0)</f>
        <v>0</v>
      </c>
      <c r="H16">
        <f>IF(Лист1!L17="против",Лист1!$D17,0)</f>
        <v>0.43</v>
      </c>
      <c r="I16">
        <f>IF(Лист1!M17="против",Лист1!$D17,0)</f>
        <v>0.43</v>
      </c>
      <c r="J16">
        <f>IF(Лист1!N17="против",Лист1!$D17,0)</f>
        <v>0</v>
      </c>
      <c r="K16">
        <f>IF(Лист1!O17="против",Лист1!$D17,0)</f>
        <v>0</v>
      </c>
      <c r="L16">
        <f>IF(Лист1!P17="против",Лист1!$D17,0)</f>
        <v>0</v>
      </c>
    </row>
    <row r="17" spans="1:12" x14ac:dyDescent="0.25">
      <c r="A17">
        <f>IF(Лист1!E18="против",Лист1!$D18,0)</f>
        <v>0.43</v>
      </c>
      <c r="B17">
        <f>IF(Лист1!F18="против",Лист1!$D18,0)</f>
        <v>0</v>
      </c>
      <c r="C17">
        <f>IF(Лист1!G18="против",Лист1!$D18,0)</f>
        <v>0</v>
      </c>
      <c r="D17">
        <f>IF(Лист1!H18="против",Лист1!$D18,0)</f>
        <v>0</v>
      </c>
      <c r="E17">
        <f>IF(Лист1!I18="против",Лист1!$D18,0)</f>
        <v>0.43</v>
      </c>
      <c r="F17">
        <f>IF(Лист1!J18="против",Лист1!$D18,0)</f>
        <v>0.43</v>
      </c>
      <c r="G17">
        <f>IF(Лист1!K18="против",Лист1!$D18,0)</f>
        <v>0</v>
      </c>
      <c r="H17">
        <f>IF(Лист1!L18="против",Лист1!$D18,0)</f>
        <v>0.43</v>
      </c>
      <c r="I17">
        <f>IF(Лист1!M18="против",Лист1!$D18,0)</f>
        <v>0.43</v>
      </c>
      <c r="J17">
        <f>IF(Лист1!N18="против",Лист1!$D18,0)</f>
        <v>0</v>
      </c>
      <c r="K17">
        <f>IF(Лист1!O18="против",Лист1!$D18,0)</f>
        <v>0</v>
      </c>
      <c r="L17">
        <f>IF(Лист1!P18="против",Лист1!$D18,0)</f>
        <v>0</v>
      </c>
    </row>
    <row r="18" spans="1:12" x14ac:dyDescent="0.25">
      <c r="A18">
        <f>IF(Лист1!E19="против",Лист1!$D19,0)</f>
        <v>0.43</v>
      </c>
      <c r="B18">
        <f>IF(Лист1!F19="против",Лист1!$D19,0)</f>
        <v>0</v>
      </c>
      <c r="C18">
        <f>IF(Лист1!G19="против",Лист1!$D19,0)</f>
        <v>0</v>
      </c>
      <c r="D18">
        <f>IF(Лист1!H19="против",Лист1!$D19,0)</f>
        <v>0</v>
      </c>
      <c r="E18">
        <f>IF(Лист1!I19="против",Лист1!$D19,0)</f>
        <v>0.43</v>
      </c>
      <c r="F18">
        <f>IF(Лист1!J19="против",Лист1!$D19,0)</f>
        <v>0.43</v>
      </c>
      <c r="G18">
        <f>IF(Лист1!K19="против",Лист1!$D19,0)</f>
        <v>0</v>
      </c>
      <c r="H18">
        <f>IF(Лист1!L19="против",Лист1!$D19,0)</f>
        <v>0.43</v>
      </c>
      <c r="I18">
        <f>IF(Лист1!M19="против",Лист1!$D19,0)</f>
        <v>0.43</v>
      </c>
      <c r="J18">
        <f>IF(Лист1!N19="против",Лист1!$D19,0)</f>
        <v>0</v>
      </c>
      <c r="K18">
        <f>IF(Лист1!O19="против",Лист1!$D19,0)</f>
        <v>0</v>
      </c>
      <c r="L18">
        <f>IF(Лист1!P19="против",Лист1!$D19,0)</f>
        <v>0</v>
      </c>
    </row>
    <row r="19" spans="1:12" x14ac:dyDescent="0.25">
      <c r="A19">
        <f>IF(Лист1!E20="против",Лист1!$D20,0)</f>
        <v>0.43</v>
      </c>
      <c r="B19">
        <f>IF(Лист1!F20="против",Лист1!$D20,0)</f>
        <v>0</v>
      </c>
      <c r="C19">
        <f>IF(Лист1!G20="против",Лист1!$D20,0)</f>
        <v>0</v>
      </c>
      <c r="D19">
        <f>IF(Лист1!H20="против",Лист1!$D20,0)</f>
        <v>0</v>
      </c>
      <c r="E19">
        <f>IF(Лист1!I20="против",Лист1!$D20,0)</f>
        <v>0.43</v>
      </c>
      <c r="F19">
        <f>IF(Лист1!J20="против",Лист1!$D20,0)</f>
        <v>0.43</v>
      </c>
      <c r="G19">
        <f>IF(Лист1!K20="против",Лист1!$D20,0)</f>
        <v>0</v>
      </c>
      <c r="H19">
        <f>IF(Лист1!L20="против",Лист1!$D20,0)</f>
        <v>0.43</v>
      </c>
      <c r="I19">
        <f>IF(Лист1!M20="против",Лист1!$D20,0)</f>
        <v>0.43</v>
      </c>
      <c r="J19">
        <f>IF(Лист1!N20="против",Лист1!$D20,0)</f>
        <v>0</v>
      </c>
      <c r="K19">
        <f>IF(Лист1!O20="против",Лист1!$D20,0)</f>
        <v>0</v>
      </c>
      <c r="L19">
        <f>IF(Лист1!P20="против",Лист1!$D20,0)</f>
        <v>0</v>
      </c>
    </row>
    <row r="20" spans="1:12" x14ac:dyDescent="0.25">
      <c r="A20">
        <f>IF(Лист1!E21="против",Лист1!$D21,0)</f>
        <v>0.43</v>
      </c>
      <c r="B20">
        <f>IF(Лист1!F21="против",Лист1!$D21,0)</f>
        <v>0</v>
      </c>
      <c r="C20">
        <f>IF(Лист1!G21="против",Лист1!$D21,0)</f>
        <v>0</v>
      </c>
      <c r="D20">
        <f>IF(Лист1!H21="против",Лист1!$D21,0)</f>
        <v>0</v>
      </c>
      <c r="E20">
        <f>IF(Лист1!I21="против",Лист1!$D21,0)</f>
        <v>0.43</v>
      </c>
      <c r="F20">
        <f>IF(Лист1!J21="против",Лист1!$D21,0)</f>
        <v>0.43</v>
      </c>
      <c r="G20">
        <f>IF(Лист1!K21="против",Лист1!$D21,0)</f>
        <v>0</v>
      </c>
      <c r="H20">
        <f>IF(Лист1!L21="против",Лист1!$D21,0)</f>
        <v>0.43</v>
      </c>
      <c r="I20">
        <f>IF(Лист1!M21="против",Лист1!$D21,0)</f>
        <v>0.43</v>
      </c>
      <c r="J20">
        <f>IF(Лист1!N21="против",Лист1!$D21,0)</f>
        <v>0</v>
      </c>
      <c r="K20">
        <f>IF(Лист1!O21="против",Лист1!$D21,0)</f>
        <v>0</v>
      </c>
      <c r="L20">
        <f>IF(Лист1!P21="против",Лист1!$D21,0)</f>
        <v>0</v>
      </c>
    </row>
    <row r="21" spans="1:12" x14ac:dyDescent="0.25">
      <c r="A21">
        <f>IF(Лист1!E22="против",Лист1!$D22,0)</f>
        <v>0</v>
      </c>
      <c r="B21">
        <f>IF(Лист1!F22="против",Лист1!$D22,0)</f>
        <v>0</v>
      </c>
      <c r="C21">
        <f>IF(Лист1!G22="против",Лист1!$D22,0)</f>
        <v>0</v>
      </c>
      <c r="D21">
        <f>IF(Лист1!H22="против",Лист1!$D22,0)</f>
        <v>0</v>
      </c>
      <c r="E21">
        <f>IF(Лист1!I22="против",Лист1!$D22,0)</f>
        <v>0</v>
      </c>
      <c r="F21">
        <f>IF(Лист1!J22="против",Лист1!$D22,0)</f>
        <v>0</v>
      </c>
      <c r="G21">
        <f>IF(Лист1!K22="против",Лист1!$D22,0)</f>
        <v>0</v>
      </c>
      <c r="H21">
        <f>IF(Лист1!L22="против",Лист1!$D22,0)</f>
        <v>0</v>
      </c>
      <c r="I21">
        <f>IF(Лист1!M22="против",Лист1!$D22,0)</f>
        <v>0</v>
      </c>
      <c r="J21">
        <f>IF(Лист1!N22="против",Лист1!$D22,0)</f>
        <v>0</v>
      </c>
      <c r="K21">
        <f>IF(Лист1!O22="против",Лист1!$D22,0)</f>
        <v>0</v>
      </c>
      <c r="L21">
        <f>IF(Лист1!P22="против",Лист1!$D22,0)</f>
        <v>0</v>
      </c>
    </row>
    <row r="22" spans="1:12" x14ac:dyDescent="0.25">
      <c r="A22">
        <f>IF(Лист1!E23="против",Лист1!$D23,0)</f>
        <v>0</v>
      </c>
      <c r="B22">
        <f>IF(Лист1!F23="против",Лист1!$D23,0)</f>
        <v>0</v>
      </c>
      <c r="C22">
        <f>IF(Лист1!G23="против",Лист1!$D23,0)</f>
        <v>0</v>
      </c>
      <c r="D22">
        <f>IF(Лист1!H23="против",Лист1!$D23,0)</f>
        <v>0</v>
      </c>
      <c r="E22">
        <f>IF(Лист1!I23="против",Лист1!$D23,0)</f>
        <v>0</v>
      </c>
      <c r="F22">
        <f>IF(Лист1!J23="против",Лист1!$D23,0)</f>
        <v>0</v>
      </c>
      <c r="G22">
        <f>IF(Лист1!K23="против",Лист1!$D23,0)</f>
        <v>0</v>
      </c>
      <c r="H22">
        <f>IF(Лист1!L23="против",Лист1!$D23,0)</f>
        <v>0</v>
      </c>
      <c r="I22">
        <f>IF(Лист1!M23="против",Лист1!$D23,0)</f>
        <v>0</v>
      </c>
      <c r="J22">
        <f>IF(Лист1!N23="против",Лист1!$D23,0)</f>
        <v>0</v>
      </c>
      <c r="K22">
        <f>IF(Лист1!O23="против",Лист1!$D23,0)</f>
        <v>0</v>
      </c>
      <c r="L22">
        <f>IF(Лист1!P23="против",Лист1!$D23,0)</f>
        <v>0</v>
      </c>
    </row>
    <row r="23" spans="1:12" x14ac:dyDescent="0.25">
      <c r="A23">
        <f>IF(Лист1!E24="против",Лист1!$D24,0)</f>
        <v>0</v>
      </c>
      <c r="B23">
        <f>IF(Лист1!F24="против",Лист1!$D24,0)</f>
        <v>0</v>
      </c>
      <c r="C23">
        <f>IF(Лист1!G24="против",Лист1!$D24,0)</f>
        <v>0</v>
      </c>
      <c r="D23">
        <f>IF(Лист1!H24="против",Лист1!$D24,0)</f>
        <v>0</v>
      </c>
      <c r="E23">
        <f>IF(Лист1!I24="против",Лист1!$D24,0)</f>
        <v>0</v>
      </c>
      <c r="F23">
        <f>IF(Лист1!J24="против",Лист1!$D24,0)</f>
        <v>0</v>
      </c>
      <c r="G23">
        <f>IF(Лист1!K24="против",Лист1!$D24,0)</f>
        <v>0</v>
      </c>
      <c r="H23">
        <f>IF(Лист1!L24="против",Лист1!$D24,0)</f>
        <v>0</v>
      </c>
      <c r="I23">
        <f>IF(Лист1!M24="против",Лист1!$D24,0)</f>
        <v>0</v>
      </c>
      <c r="J23">
        <f>IF(Лист1!N24="против",Лист1!$D24,0)</f>
        <v>0</v>
      </c>
      <c r="K23">
        <f>IF(Лист1!O24="против",Лист1!$D24,0)</f>
        <v>0</v>
      </c>
      <c r="L23">
        <f>IF(Лист1!P24="против",Лист1!$D24,0)</f>
        <v>0</v>
      </c>
    </row>
    <row r="24" spans="1:12" x14ac:dyDescent="0.25">
      <c r="A24">
        <f>IF(Лист1!E25="против",Лист1!$D25,0)</f>
        <v>0</v>
      </c>
      <c r="B24">
        <f>IF(Лист1!F25="против",Лист1!$D25,0)</f>
        <v>0</v>
      </c>
      <c r="C24">
        <f>IF(Лист1!G25="против",Лист1!$D25,0)</f>
        <v>0</v>
      </c>
      <c r="D24">
        <f>IF(Лист1!H25="против",Лист1!$D25,0)</f>
        <v>0</v>
      </c>
      <c r="E24">
        <f>IF(Лист1!I25="против",Лист1!$D25,0)</f>
        <v>0</v>
      </c>
      <c r="F24">
        <f>IF(Лист1!J25="против",Лист1!$D25,0)</f>
        <v>0</v>
      </c>
      <c r="G24">
        <f>IF(Лист1!K25="против",Лист1!$D25,0)</f>
        <v>0</v>
      </c>
      <c r="H24">
        <f>IF(Лист1!L25="против",Лист1!$D25,0)</f>
        <v>0</v>
      </c>
      <c r="I24">
        <f>IF(Лист1!M25="против",Лист1!$D25,0)</f>
        <v>0</v>
      </c>
      <c r="J24">
        <f>IF(Лист1!N25="против",Лист1!$D25,0)</f>
        <v>0</v>
      </c>
      <c r="K24">
        <f>IF(Лист1!O25="против",Лист1!$D25,0)</f>
        <v>0</v>
      </c>
      <c r="L24">
        <f>IF(Лист1!P25="против",Лист1!$D25,0)</f>
        <v>0</v>
      </c>
    </row>
    <row r="25" spans="1:12" x14ac:dyDescent="0.25">
      <c r="A25">
        <f>IF(Лист1!E26="против",Лист1!$D26,0)</f>
        <v>0</v>
      </c>
      <c r="B25">
        <f>IF(Лист1!F26="против",Лист1!$D26,0)</f>
        <v>0</v>
      </c>
      <c r="C25">
        <f>IF(Лист1!G26="против",Лист1!$D26,0)</f>
        <v>0</v>
      </c>
      <c r="D25">
        <f>IF(Лист1!H26="против",Лист1!$D26,0)</f>
        <v>0</v>
      </c>
      <c r="E25">
        <f>IF(Лист1!I26="против",Лист1!$D26,0)</f>
        <v>0</v>
      </c>
      <c r="F25">
        <f>IF(Лист1!J26="против",Лист1!$D26,0)</f>
        <v>0</v>
      </c>
      <c r="G25">
        <f>IF(Лист1!K26="против",Лист1!$D26,0)</f>
        <v>0</v>
      </c>
      <c r="H25">
        <f>IF(Лист1!L26="против",Лист1!$D26,0)</f>
        <v>0</v>
      </c>
      <c r="I25">
        <f>IF(Лист1!M26="против",Лист1!$D26,0)</f>
        <v>0</v>
      </c>
      <c r="J25">
        <f>IF(Лист1!N26="против",Лист1!$D26,0)</f>
        <v>0</v>
      </c>
      <c r="K25">
        <f>IF(Лист1!O26="против",Лист1!$D26,0)</f>
        <v>0</v>
      </c>
      <c r="L25">
        <f>IF(Лист1!P26="против",Лист1!$D26,0)</f>
        <v>0</v>
      </c>
    </row>
    <row r="26" spans="1:12" x14ac:dyDescent="0.25">
      <c r="A26">
        <f>IF(Лист1!E27="против",Лист1!$D27,0)</f>
        <v>0</v>
      </c>
      <c r="B26">
        <f>IF(Лист1!F27="против",Лист1!$D27,0)</f>
        <v>0</v>
      </c>
      <c r="C26">
        <f>IF(Лист1!G27="против",Лист1!$D27,0)</f>
        <v>0</v>
      </c>
      <c r="D26">
        <f>IF(Лист1!H27="против",Лист1!$D27,0)</f>
        <v>0</v>
      </c>
      <c r="E26">
        <f>IF(Лист1!I27="против",Лист1!$D27,0)</f>
        <v>0</v>
      </c>
      <c r="F26">
        <f>IF(Лист1!J27="против",Лист1!$D27,0)</f>
        <v>0</v>
      </c>
      <c r="G26">
        <f>IF(Лист1!K27="против",Лист1!$D27,0)</f>
        <v>0</v>
      </c>
      <c r="H26">
        <f>IF(Лист1!L27="против",Лист1!$D27,0)</f>
        <v>0</v>
      </c>
      <c r="I26">
        <f>IF(Лист1!M27="против",Лист1!$D27,0)</f>
        <v>0</v>
      </c>
      <c r="J26">
        <f>IF(Лист1!N27="против",Лист1!$D27,0)</f>
        <v>0</v>
      </c>
      <c r="K26">
        <f>IF(Лист1!O27="против",Лист1!$D27,0)</f>
        <v>0</v>
      </c>
      <c r="L26">
        <f>IF(Лист1!P27="против",Лист1!$D27,0)</f>
        <v>0</v>
      </c>
    </row>
    <row r="27" spans="1:12" x14ac:dyDescent="0.25">
      <c r="A27">
        <f>IF(Лист1!E28="против",Лист1!$D28,0)</f>
        <v>0</v>
      </c>
      <c r="B27">
        <f>IF(Лист1!F28="против",Лист1!$D28,0)</f>
        <v>0</v>
      </c>
      <c r="C27">
        <f>IF(Лист1!G28="против",Лист1!$D28,0)</f>
        <v>0</v>
      </c>
      <c r="D27">
        <f>IF(Лист1!H28="против",Лист1!$D28,0)</f>
        <v>0</v>
      </c>
      <c r="E27">
        <f>IF(Лист1!I28="против",Лист1!$D28,0)</f>
        <v>0</v>
      </c>
      <c r="F27">
        <f>IF(Лист1!J28="против",Лист1!$D28,0)</f>
        <v>0</v>
      </c>
      <c r="G27">
        <f>IF(Лист1!K28="против",Лист1!$D28,0)</f>
        <v>0</v>
      </c>
      <c r="H27">
        <f>IF(Лист1!L28="против",Лист1!$D28,0)</f>
        <v>2.14</v>
      </c>
      <c r="I27">
        <f>IF(Лист1!M28="против",Лист1!$D28,0)</f>
        <v>2.14</v>
      </c>
      <c r="J27">
        <f>IF(Лист1!N28="против",Лист1!$D28,0)</f>
        <v>2.14</v>
      </c>
      <c r="K27">
        <f>IF(Лист1!O28="против",Лист1!$D28,0)</f>
        <v>0</v>
      </c>
      <c r="L27">
        <f>IF(Лист1!P28="против",Лист1!$D28,0)</f>
        <v>0</v>
      </c>
    </row>
    <row r="28" spans="1:12" x14ac:dyDescent="0.25">
      <c r="A28">
        <f>IF(Лист1!E29="против",Лист1!$D29,0)</f>
        <v>0</v>
      </c>
      <c r="B28">
        <f>IF(Лист1!F29="против",Лист1!$D29,0)</f>
        <v>0</v>
      </c>
      <c r="C28">
        <f>IF(Лист1!G29="против",Лист1!$D29,0)</f>
        <v>0</v>
      </c>
      <c r="D28">
        <f>IF(Лист1!H29="против",Лист1!$D29,0)</f>
        <v>0</v>
      </c>
      <c r="E28">
        <f>IF(Лист1!I29="против",Лист1!$D29,0)</f>
        <v>0</v>
      </c>
      <c r="F28">
        <f>IF(Лист1!J29="против",Лист1!$D29,0)</f>
        <v>0</v>
      </c>
      <c r="G28">
        <f>IF(Лист1!K29="против",Лист1!$D29,0)</f>
        <v>0</v>
      </c>
      <c r="H28">
        <f>IF(Лист1!L29="против",Лист1!$D29,0)</f>
        <v>0</v>
      </c>
      <c r="I28">
        <f>IF(Лист1!M29="против",Лист1!$D29,0)</f>
        <v>0</v>
      </c>
      <c r="J28">
        <f>IF(Лист1!N29="против",Лист1!$D29,0)</f>
        <v>0</v>
      </c>
      <c r="K28">
        <f>IF(Лист1!O29="против",Лист1!$D29,0)</f>
        <v>0</v>
      </c>
      <c r="L28">
        <f>IF(Лист1!P29="против",Лист1!$D29,0)</f>
        <v>0</v>
      </c>
    </row>
    <row r="29" spans="1:12" x14ac:dyDescent="0.25">
      <c r="A29">
        <f>IF(Лист1!E30="против",Лист1!$D30,0)</f>
        <v>0</v>
      </c>
      <c r="B29">
        <f>IF(Лист1!F30="против",Лист1!$D30,0)</f>
        <v>0</v>
      </c>
      <c r="C29">
        <f>IF(Лист1!G30="против",Лист1!$D30,0)</f>
        <v>0</v>
      </c>
      <c r="D29">
        <f>IF(Лист1!H30="против",Лист1!$D30,0)</f>
        <v>0</v>
      </c>
      <c r="E29">
        <f>IF(Лист1!I30="против",Лист1!$D30,0)</f>
        <v>0</v>
      </c>
      <c r="F29">
        <f>IF(Лист1!J30="против",Лист1!$D30,0)</f>
        <v>0</v>
      </c>
      <c r="G29">
        <f>IF(Лист1!K30="против",Лист1!$D30,0)</f>
        <v>0</v>
      </c>
      <c r="H29">
        <f>IF(Лист1!L30="против",Лист1!$D30,0)</f>
        <v>0</v>
      </c>
      <c r="I29">
        <f>IF(Лист1!M30="против",Лист1!$D30,0)</f>
        <v>0</v>
      </c>
      <c r="J29">
        <f>IF(Лист1!N30="против",Лист1!$D30,0)</f>
        <v>0</v>
      </c>
      <c r="K29">
        <f>IF(Лист1!O30="против",Лист1!$D30,0)</f>
        <v>0</v>
      </c>
      <c r="L29">
        <f>IF(Лист1!P30="против",Лист1!$D30,0)</f>
        <v>0</v>
      </c>
    </row>
    <row r="30" spans="1:12" x14ac:dyDescent="0.25">
      <c r="A30">
        <f>IF(Лист1!E31="против",Лист1!$D31,0)</f>
        <v>0</v>
      </c>
      <c r="B30">
        <f>IF(Лист1!F31="против",Лист1!$D31,0)</f>
        <v>0</v>
      </c>
      <c r="C30">
        <f>IF(Лист1!G31="против",Лист1!$D31,0)</f>
        <v>0</v>
      </c>
      <c r="D30">
        <f>IF(Лист1!H31="против",Лист1!$D31,0)</f>
        <v>0</v>
      </c>
      <c r="E30">
        <f>IF(Лист1!I31="против",Лист1!$D31,0)</f>
        <v>0</v>
      </c>
      <c r="F30">
        <f>IF(Лист1!J31="против",Лист1!$D31,0)</f>
        <v>0</v>
      </c>
      <c r="G30">
        <f>IF(Лист1!K31="против",Лист1!$D31,0)</f>
        <v>0</v>
      </c>
      <c r="H30">
        <f>IF(Лист1!L31="против",Лист1!$D31,0)</f>
        <v>0</v>
      </c>
      <c r="I30">
        <f>IF(Лист1!M31="против",Лист1!$D31,0)</f>
        <v>0</v>
      </c>
      <c r="J30">
        <f>IF(Лист1!N31="против",Лист1!$D31,0)</f>
        <v>0</v>
      </c>
      <c r="K30">
        <f>IF(Лист1!O31="против",Лист1!$D31,0)</f>
        <v>0</v>
      </c>
      <c r="L30">
        <f>IF(Лист1!P31="против",Лист1!$D31,0)</f>
        <v>0</v>
      </c>
    </row>
    <row r="31" spans="1:12" x14ac:dyDescent="0.25">
      <c r="A31">
        <f>IF(Лист1!E32="против",Лист1!$D32,0)</f>
        <v>0</v>
      </c>
      <c r="B31">
        <f>IF(Лист1!F32="против",Лист1!$D32,0)</f>
        <v>0</v>
      </c>
      <c r="C31">
        <f>IF(Лист1!G32="против",Лист1!$D32,0)</f>
        <v>0</v>
      </c>
      <c r="D31">
        <f>IF(Лист1!H32="против",Лист1!$D32,0)</f>
        <v>0</v>
      </c>
      <c r="E31">
        <f>IF(Лист1!I32="против",Лист1!$D32,0)</f>
        <v>0</v>
      </c>
      <c r="F31">
        <f>IF(Лист1!J32="против",Лист1!$D32,0)</f>
        <v>0</v>
      </c>
      <c r="G31">
        <f>IF(Лист1!K32="против",Лист1!$D32,0)</f>
        <v>0</v>
      </c>
      <c r="H31">
        <f>IF(Лист1!L32="против",Лист1!$D32,0)</f>
        <v>0</v>
      </c>
      <c r="I31">
        <f>IF(Лист1!M32="против",Лист1!$D32,0)</f>
        <v>0</v>
      </c>
      <c r="J31">
        <f>IF(Лист1!N32="против",Лист1!$D32,0)</f>
        <v>0</v>
      </c>
      <c r="K31">
        <f>IF(Лист1!O32="против",Лист1!$D32,0)</f>
        <v>0</v>
      </c>
      <c r="L31">
        <f>IF(Лист1!P32="против",Лист1!$D32,0)</f>
        <v>0</v>
      </c>
    </row>
    <row r="32" spans="1:12" x14ac:dyDescent="0.25">
      <c r="A32">
        <f>IF(Лист1!E33="против",Лист1!$D33,0)</f>
        <v>0</v>
      </c>
      <c r="B32">
        <f>IF(Лист1!F33="против",Лист1!$D33,0)</f>
        <v>0</v>
      </c>
      <c r="C32">
        <f>IF(Лист1!G33="против",Лист1!$D33,0)</f>
        <v>0</v>
      </c>
      <c r="D32">
        <f>IF(Лист1!H33="против",Лист1!$D33,0)</f>
        <v>0</v>
      </c>
      <c r="E32">
        <f>IF(Лист1!I33="против",Лист1!$D33,0)</f>
        <v>0</v>
      </c>
      <c r="F32">
        <f>IF(Лист1!J33="против",Лист1!$D33,0)</f>
        <v>0</v>
      </c>
      <c r="G32">
        <f>IF(Лист1!K33="против",Лист1!$D33,0)</f>
        <v>0</v>
      </c>
      <c r="H32">
        <f>IF(Лист1!L33="против",Лист1!$D33,0)</f>
        <v>0</v>
      </c>
      <c r="I32">
        <f>IF(Лист1!M33="против",Лист1!$D33,0)</f>
        <v>0</v>
      </c>
      <c r="J32">
        <f>IF(Лист1!N33="против",Лист1!$D33,0)</f>
        <v>0</v>
      </c>
      <c r="K32">
        <f>IF(Лист1!O33="против",Лист1!$D33,0)</f>
        <v>0</v>
      </c>
      <c r="L32">
        <f>IF(Лист1!P33="против",Лист1!$D33,0)</f>
        <v>0</v>
      </c>
    </row>
    <row r="33" spans="1:12" x14ac:dyDescent="0.25">
      <c r="A33">
        <f>IF(Лист1!E34="против",Лист1!$D34,0)</f>
        <v>0</v>
      </c>
      <c r="B33">
        <f>IF(Лист1!F34="против",Лист1!$D34,0)</f>
        <v>0</v>
      </c>
      <c r="C33">
        <f>IF(Лист1!G34="против",Лист1!$D34,0)</f>
        <v>0</v>
      </c>
      <c r="D33">
        <f>IF(Лист1!H34="против",Лист1!$D34,0)</f>
        <v>0</v>
      </c>
      <c r="E33">
        <f>IF(Лист1!I34="против",Лист1!$D34,0)</f>
        <v>0</v>
      </c>
      <c r="F33">
        <f>IF(Лист1!J34="против",Лист1!$D34,0)</f>
        <v>0</v>
      </c>
      <c r="G33">
        <f>IF(Лист1!K34="против",Лист1!$D34,0)</f>
        <v>0</v>
      </c>
      <c r="H33">
        <f>IF(Лист1!L34="против",Лист1!$D34,0)</f>
        <v>0</v>
      </c>
      <c r="I33">
        <f>IF(Лист1!M34="против",Лист1!$D34,0)</f>
        <v>0</v>
      </c>
      <c r="J33">
        <f>IF(Лист1!N34="против",Лист1!$D34,0)</f>
        <v>0</v>
      </c>
      <c r="K33">
        <f>IF(Лист1!O34="против",Лист1!$D34,0)</f>
        <v>0</v>
      </c>
      <c r="L33">
        <f>IF(Лист1!P34="против",Лист1!$D34,0)</f>
        <v>0</v>
      </c>
    </row>
    <row r="34" spans="1:12" x14ac:dyDescent="0.25">
      <c r="A34">
        <f>IF(Лист1!E35="против",Лист1!$D35,0)</f>
        <v>0</v>
      </c>
      <c r="B34">
        <f>IF(Лист1!F35="против",Лист1!$D35,0)</f>
        <v>0</v>
      </c>
      <c r="C34">
        <f>IF(Лист1!G35="против",Лист1!$D35,0)</f>
        <v>0</v>
      </c>
      <c r="D34">
        <f>IF(Лист1!H35="против",Лист1!$D35,0)</f>
        <v>0</v>
      </c>
      <c r="E34">
        <f>IF(Лист1!I35="против",Лист1!$D35,0)</f>
        <v>0</v>
      </c>
      <c r="F34">
        <f>IF(Лист1!J35="против",Лист1!$D35,0)</f>
        <v>0</v>
      </c>
      <c r="G34">
        <f>IF(Лист1!K35="против",Лист1!$D35,0)</f>
        <v>0</v>
      </c>
      <c r="H34">
        <f>IF(Лист1!L35="против",Лист1!$D35,0)</f>
        <v>0</v>
      </c>
      <c r="I34">
        <f>IF(Лист1!M35="против",Лист1!$D35,0)</f>
        <v>0</v>
      </c>
      <c r="J34">
        <f>IF(Лист1!N35="против",Лист1!$D35,0)</f>
        <v>0</v>
      </c>
      <c r="K34">
        <f>IF(Лист1!O35="против",Лист1!$D35,0)</f>
        <v>0</v>
      </c>
      <c r="L34">
        <f>IF(Лист1!P35="против",Лист1!$D35,0)</f>
        <v>0</v>
      </c>
    </row>
    <row r="35" spans="1:12" x14ac:dyDescent="0.25">
      <c r="A35">
        <f>IF(Лист1!E36="против",Лист1!$D36,0)</f>
        <v>0</v>
      </c>
      <c r="B35">
        <f>IF(Лист1!F36="против",Лист1!$D36,0)</f>
        <v>0</v>
      </c>
      <c r="C35">
        <f>IF(Лист1!G36="против",Лист1!$D36,0)</f>
        <v>0</v>
      </c>
      <c r="D35">
        <f>IF(Лист1!H36="против",Лист1!$D36,0)</f>
        <v>0</v>
      </c>
      <c r="E35">
        <f>IF(Лист1!I36="против",Лист1!$D36,0)</f>
        <v>0</v>
      </c>
      <c r="F35">
        <f>IF(Лист1!J36="против",Лист1!$D36,0)</f>
        <v>0</v>
      </c>
      <c r="G35">
        <f>IF(Лист1!K36="против",Лист1!$D36,0)</f>
        <v>0</v>
      </c>
      <c r="H35">
        <f>IF(Лист1!L36="против",Лист1!$D36,0)</f>
        <v>0</v>
      </c>
      <c r="I35">
        <f>IF(Лист1!M36="против",Лист1!$D36,0)</f>
        <v>0</v>
      </c>
      <c r="J35">
        <f>IF(Лист1!N36="против",Лист1!$D36,0)</f>
        <v>0</v>
      </c>
      <c r="K35">
        <f>IF(Лист1!O36="против",Лист1!$D36,0)</f>
        <v>0</v>
      </c>
      <c r="L35">
        <f>IF(Лист1!P36="против",Лист1!$D36,0)</f>
        <v>0</v>
      </c>
    </row>
    <row r="36" spans="1:12" x14ac:dyDescent="0.25">
      <c r="A36">
        <f>IF(Лист1!E37="против",Лист1!$D37,0)</f>
        <v>0</v>
      </c>
      <c r="B36">
        <f>IF(Лист1!F37="против",Лист1!$D37,0)</f>
        <v>0</v>
      </c>
      <c r="C36">
        <f>IF(Лист1!G37="против",Лист1!$D37,0)</f>
        <v>0</v>
      </c>
      <c r="D36">
        <f>IF(Лист1!H37="против",Лист1!$D37,0)</f>
        <v>0</v>
      </c>
      <c r="E36">
        <f>IF(Лист1!I37="против",Лист1!$D37,0)</f>
        <v>0</v>
      </c>
      <c r="F36">
        <f>IF(Лист1!J37="против",Лист1!$D37,0)</f>
        <v>0</v>
      </c>
      <c r="G36">
        <f>IF(Лист1!K37="против",Лист1!$D37,0)</f>
        <v>0</v>
      </c>
      <c r="H36">
        <f>IF(Лист1!L37="против",Лист1!$D37,0)</f>
        <v>0</v>
      </c>
      <c r="I36">
        <f>IF(Лист1!M37="против",Лист1!$D37,0)</f>
        <v>0</v>
      </c>
      <c r="J36">
        <f>IF(Лист1!N37="против",Лист1!$D37,0)</f>
        <v>0</v>
      </c>
      <c r="K36">
        <f>IF(Лист1!O37="против",Лист1!$D37,0)</f>
        <v>0</v>
      </c>
      <c r="L36">
        <f>IF(Лист1!P37="против",Лист1!$D37,0)</f>
        <v>0</v>
      </c>
    </row>
    <row r="37" spans="1:12" x14ac:dyDescent="0.25">
      <c r="A37">
        <f>IF(Лист1!E38="против",Лист1!$D38,0)</f>
        <v>0</v>
      </c>
      <c r="B37">
        <f>IF(Лист1!F38="против",Лист1!$D38,0)</f>
        <v>0</v>
      </c>
      <c r="C37">
        <f>IF(Лист1!G38="против",Лист1!$D38,0)</f>
        <v>0</v>
      </c>
      <c r="D37">
        <f>IF(Лист1!H38="против",Лист1!$D38,0)</f>
        <v>0</v>
      </c>
      <c r="E37">
        <f>IF(Лист1!I38="против",Лист1!$D38,0)</f>
        <v>0</v>
      </c>
      <c r="F37">
        <f>IF(Лист1!J38="против",Лист1!$D38,0)</f>
        <v>0</v>
      </c>
      <c r="G37">
        <f>IF(Лист1!K38="против",Лист1!$D38,0)</f>
        <v>0</v>
      </c>
      <c r="H37">
        <f>IF(Лист1!L38="против",Лист1!$D38,0)</f>
        <v>0</v>
      </c>
      <c r="I37">
        <f>IF(Лист1!M38="против",Лист1!$D38,0)</f>
        <v>0</v>
      </c>
      <c r="J37">
        <f>IF(Лист1!N38="против",Лист1!$D38,0)</f>
        <v>0</v>
      </c>
      <c r="K37">
        <f>IF(Лист1!O38="против",Лист1!$D38,0)</f>
        <v>0</v>
      </c>
      <c r="L37">
        <f>IF(Лист1!P38="против",Лист1!$D38,0)</f>
        <v>0</v>
      </c>
    </row>
    <row r="38" spans="1:12" x14ac:dyDescent="0.25">
      <c r="A38">
        <f>IF(Лист1!E39="против",Лист1!$D39,0)</f>
        <v>0</v>
      </c>
      <c r="B38">
        <f>IF(Лист1!F39="против",Лист1!$D39,0)</f>
        <v>0</v>
      </c>
      <c r="C38">
        <f>IF(Лист1!G39="против",Лист1!$D39,0)</f>
        <v>0</v>
      </c>
      <c r="D38">
        <f>IF(Лист1!H39="против",Лист1!$D39,0)</f>
        <v>0</v>
      </c>
      <c r="E38">
        <f>IF(Лист1!I39="против",Лист1!$D39,0)</f>
        <v>0</v>
      </c>
      <c r="F38">
        <f>IF(Лист1!J39="против",Лист1!$D39,0)</f>
        <v>0</v>
      </c>
      <c r="G38">
        <f>IF(Лист1!K39="против",Лист1!$D39,0)</f>
        <v>0</v>
      </c>
      <c r="H38">
        <f>IF(Лист1!L39="против",Лист1!$D39,0)</f>
        <v>0</v>
      </c>
      <c r="I38">
        <f>IF(Лист1!M39="против",Лист1!$D39,0)</f>
        <v>0</v>
      </c>
      <c r="J38">
        <f>IF(Лист1!N39="против",Лист1!$D39,0)</f>
        <v>0</v>
      </c>
      <c r="K38">
        <f>IF(Лист1!O39="против",Лист1!$D39,0)</f>
        <v>0</v>
      </c>
      <c r="L38">
        <f>IF(Лист1!P39="против",Лист1!$D39,0)</f>
        <v>0</v>
      </c>
    </row>
    <row r="39" spans="1:12" x14ac:dyDescent="0.25">
      <c r="A39">
        <f>IF(Лист1!E40="против",Лист1!$D40,0)</f>
        <v>0</v>
      </c>
      <c r="B39">
        <f>IF(Лист1!F40="против",Лист1!$D40,0)</f>
        <v>0</v>
      </c>
      <c r="C39">
        <f>IF(Лист1!G40="против",Лист1!$D40,0)</f>
        <v>0</v>
      </c>
      <c r="D39">
        <f>IF(Лист1!H40="против",Лист1!$D40,0)</f>
        <v>0</v>
      </c>
      <c r="E39">
        <f>IF(Лист1!I40="против",Лист1!$D40,0)</f>
        <v>0</v>
      </c>
      <c r="F39">
        <f>IF(Лист1!J40="против",Лист1!$D40,0)</f>
        <v>0</v>
      </c>
      <c r="G39">
        <f>IF(Лист1!K40="против",Лист1!$D40,0)</f>
        <v>0</v>
      </c>
      <c r="H39">
        <f>IF(Лист1!L40="против",Лист1!$D40,0)</f>
        <v>0</v>
      </c>
      <c r="I39">
        <f>IF(Лист1!M40="против",Лист1!$D40,0)</f>
        <v>0</v>
      </c>
      <c r="J39">
        <f>IF(Лист1!N40="против",Лист1!$D40,0)</f>
        <v>0</v>
      </c>
      <c r="K39">
        <f>IF(Лист1!O40="против",Лист1!$D40,0)</f>
        <v>0</v>
      </c>
      <c r="L39">
        <f>IF(Лист1!P40="против",Лист1!$D40,0)</f>
        <v>0</v>
      </c>
    </row>
    <row r="40" spans="1:12" x14ac:dyDescent="0.25">
      <c r="A40">
        <f>IF(Лист1!E41="против",Лист1!$D41,0)</f>
        <v>0</v>
      </c>
      <c r="B40">
        <f>IF(Лист1!F41="против",Лист1!$D41,0)</f>
        <v>0</v>
      </c>
      <c r="C40">
        <f>IF(Лист1!G41="против",Лист1!$D41,0)</f>
        <v>0</v>
      </c>
      <c r="D40">
        <f>IF(Лист1!H41="против",Лист1!$D41,0)</f>
        <v>0</v>
      </c>
      <c r="E40">
        <f>IF(Лист1!I41="против",Лист1!$D41,0)</f>
        <v>0</v>
      </c>
      <c r="F40">
        <f>IF(Лист1!J41="против",Лист1!$D41,0)</f>
        <v>0</v>
      </c>
      <c r="G40">
        <f>IF(Лист1!K41="против",Лист1!$D41,0)</f>
        <v>0</v>
      </c>
      <c r="H40">
        <f>IF(Лист1!L41="против",Лист1!$D41,0)</f>
        <v>0</v>
      </c>
      <c r="I40">
        <f>IF(Лист1!M41="против",Лист1!$D41,0)</f>
        <v>0</v>
      </c>
      <c r="J40">
        <f>IF(Лист1!N41="против",Лист1!$D41,0)</f>
        <v>0</v>
      </c>
      <c r="K40">
        <f>IF(Лист1!O41="против",Лист1!$D41,0)</f>
        <v>0</v>
      </c>
      <c r="L40">
        <f>IF(Лист1!P41="против",Лист1!$D41,0)</f>
        <v>0</v>
      </c>
    </row>
    <row r="41" spans="1:12" x14ac:dyDescent="0.25">
      <c r="A41">
        <f>IF(Лист1!E42="против",Лист1!$D42,0)</f>
        <v>0</v>
      </c>
      <c r="B41">
        <f>IF(Лист1!F42="против",Лист1!$D42,0)</f>
        <v>0</v>
      </c>
      <c r="C41">
        <f>IF(Лист1!G42="против",Лист1!$D42,0)</f>
        <v>0</v>
      </c>
      <c r="D41">
        <f>IF(Лист1!H42="против",Лист1!$D42,0)</f>
        <v>0</v>
      </c>
      <c r="E41">
        <f>IF(Лист1!I42="против",Лист1!$D42,0)</f>
        <v>0</v>
      </c>
      <c r="F41">
        <f>IF(Лист1!J42="против",Лист1!$D42,0)</f>
        <v>0</v>
      </c>
      <c r="G41">
        <f>IF(Лист1!K42="против",Лист1!$D42,0)</f>
        <v>0</v>
      </c>
      <c r="H41">
        <f>IF(Лист1!L42="против",Лист1!$D42,0)</f>
        <v>0</v>
      </c>
      <c r="I41">
        <f>IF(Лист1!M42="против",Лист1!$D42,0)</f>
        <v>0</v>
      </c>
      <c r="J41">
        <f>IF(Лист1!N42="против",Лист1!$D42,0)</f>
        <v>0</v>
      </c>
      <c r="K41">
        <f>IF(Лист1!O42="против",Лист1!$D42,0)</f>
        <v>0</v>
      </c>
      <c r="L41">
        <f>IF(Лист1!P42="против",Лист1!$D42,0)</f>
        <v>0</v>
      </c>
    </row>
    <row r="42" spans="1:12" x14ac:dyDescent="0.25">
      <c r="A42">
        <f>IF(Лист1!E43="против",Лист1!$D43,0)</f>
        <v>0</v>
      </c>
      <c r="B42">
        <f>IF(Лист1!F43="против",Лист1!$D43,0)</f>
        <v>0</v>
      </c>
      <c r="C42">
        <f>IF(Лист1!G43="против",Лист1!$D43,0)</f>
        <v>0</v>
      </c>
      <c r="D42">
        <f>IF(Лист1!H43="против",Лист1!$D43,0)</f>
        <v>0</v>
      </c>
      <c r="E42">
        <f>IF(Лист1!I43="против",Лист1!$D43,0)</f>
        <v>0</v>
      </c>
      <c r="F42">
        <f>IF(Лист1!J43="против",Лист1!$D43,0)</f>
        <v>0</v>
      </c>
      <c r="G42">
        <f>IF(Лист1!K43="против",Лист1!$D43,0)</f>
        <v>0</v>
      </c>
      <c r="H42">
        <f>IF(Лист1!L43="против",Лист1!$D43,0)</f>
        <v>0</v>
      </c>
      <c r="I42">
        <f>IF(Лист1!M43="против",Лист1!$D43,0)</f>
        <v>0</v>
      </c>
      <c r="J42">
        <f>IF(Лист1!N43="против",Лист1!$D43,0)</f>
        <v>0</v>
      </c>
      <c r="K42">
        <f>IF(Лист1!O43="против",Лист1!$D43,0)</f>
        <v>0</v>
      </c>
      <c r="L42">
        <f>IF(Лист1!P43="против",Лист1!$D43,0)</f>
        <v>0</v>
      </c>
    </row>
    <row r="43" spans="1:12" x14ac:dyDescent="0.25">
      <c r="A43">
        <f>IF(Лист1!E44="против",Лист1!$D44,0)</f>
        <v>0</v>
      </c>
      <c r="B43">
        <f>IF(Лист1!F44="против",Лист1!$D44,0)</f>
        <v>0</v>
      </c>
      <c r="C43">
        <f>IF(Лист1!G44="против",Лист1!$D44,0)</f>
        <v>0</v>
      </c>
      <c r="D43">
        <f>IF(Лист1!H44="против",Лист1!$D44,0)</f>
        <v>0</v>
      </c>
      <c r="E43">
        <f>IF(Лист1!I44="против",Лист1!$D44,0)</f>
        <v>0</v>
      </c>
      <c r="F43">
        <f>IF(Лист1!J44="против",Лист1!$D44,0)</f>
        <v>0</v>
      </c>
      <c r="G43">
        <f>IF(Лист1!K44="против",Лист1!$D44,0)</f>
        <v>0</v>
      </c>
      <c r="H43">
        <f>IF(Лист1!L44="против",Лист1!$D44,0)</f>
        <v>0</v>
      </c>
      <c r="I43">
        <f>IF(Лист1!M44="против",Лист1!$D44,0)</f>
        <v>0</v>
      </c>
      <c r="J43">
        <f>IF(Лист1!N44="против",Лист1!$D44,0)</f>
        <v>0</v>
      </c>
      <c r="K43">
        <f>IF(Лист1!O44="против",Лист1!$D44,0)</f>
        <v>0</v>
      </c>
      <c r="L43">
        <f>IF(Лист1!P44="против",Лист1!$D44,0)</f>
        <v>0</v>
      </c>
    </row>
    <row r="44" spans="1:12" x14ac:dyDescent="0.25">
      <c r="A44">
        <f>IF(Лист1!E45="против",Лист1!$D45,0)</f>
        <v>0</v>
      </c>
      <c r="B44">
        <f>IF(Лист1!F45="против",Лист1!$D45,0)</f>
        <v>0</v>
      </c>
      <c r="C44">
        <f>IF(Лист1!G45="против",Лист1!$D45,0)</f>
        <v>0</v>
      </c>
      <c r="D44">
        <f>IF(Лист1!H45="против",Лист1!$D45,0)</f>
        <v>0</v>
      </c>
      <c r="E44">
        <f>IF(Лист1!I45="против",Лист1!$D45,0)</f>
        <v>0</v>
      </c>
      <c r="F44">
        <f>IF(Лист1!J45="против",Лист1!$D45,0)</f>
        <v>0</v>
      </c>
      <c r="G44">
        <f>IF(Лист1!K45="против",Лист1!$D45,0)</f>
        <v>0</v>
      </c>
      <c r="H44">
        <f>IF(Лист1!L45="против",Лист1!$D45,0)</f>
        <v>0</v>
      </c>
      <c r="I44">
        <f>IF(Лист1!M45="против",Лист1!$D45,0)</f>
        <v>0</v>
      </c>
      <c r="J44">
        <f>IF(Лист1!N45="против",Лист1!$D45,0)</f>
        <v>0</v>
      </c>
      <c r="K44">
        <f>IF(Лист1!O45="против",Лист1!$D45,0)</f>
        <v>0</v>
      </c>
      <c r="L44">
        <f>IF(Лист1!P45="против",Лист1!$D45,0)</f>
        <v>0</v>
      </c>
    </row>
    <row r="45" spans="1:12" x14ac:dyDescent="0.25">
      <c r="A45">
        <f>IF(Лист1!E46="против",Лист1!$D46,0)</f>
        <v>0</v>
      </c>
      <c r="B45">
        <f>IF(Лист1!F46="против",Лист1!$D46,0)</f>
        <v>0</v>
      </c>
      <c r="C45">
        <f>IF(Лист1!G46="против",Лист1!$D46,0)</f>
        <v>0</v>
      </c>
      <c r="D45">
        <f>IF(Лист1!H46="против",Лист1!$D46,0)</f>
        <v>0</v>
      </c>
      <c r="E45">
        <f>IF(Лист1!I46="против",Лист1!$D46,0)</f>
        <v>0</v>
      </c>
      <c r="F45">
        <f>IF(Лист1!J46="против",Лист1!$D46,0)</f>
        <v>0</v>
      </c>
      <c r="G45">
        <f>IF(Лист1!K46="против",Лист1!$D46,0)</f>
        <v>0</v>
      </c>
      <c r="H45">
        <f>IF(Лист1!L46="против",Лист1!$D46,0)</f>
        <v>0</v>
      </c>
      <c r="I45">
        <f>IF(Лист1!M46="против",Лист1!$D46,0)</f>
        <v>0</v>
      </c>
      <c r="J45">
        <f>IF(Лист1!N46="против",Лист1!$D46,0)</f>
        <v>0</v>
      </c>
      <c r="K45">
        <f>IF(Лист1!O46="против",Лист1!$D46,0)</f>
        <v>0</v>
      </c>
      <c r="L45">
        <f>IF(Лист1!P46="против",Лист1!$D46,0)</f>
        <v>0</v>
      </c>
    </row>
    <row r="46" spans="1:12" x14ac:dyDescent="0.25">
      <c r="A46">
        <f>IF(Лист1!E47="против",Лист1!$D47,0)</f>
        <v>0</v>
      </c>
      <c r="B46">
        <f>IF(Лист1!F47="против",Лист1!$D47,0)</f>
        <v>0</v>
      </c>
      <c r="C46">
        <f>IF(Лист1!G47="против",Лист1!$D47,0)</f>
        <v>0</v>
      </c>
      <c r="D46">
        <f>IF(Лист1!H47="против",Лист1!$D47,0)</f>
        <v>0</v>
      </c>
      <c r="E46">
        <f>IF(Лист1!I47="против",Лист1!$D47,0)</f>
        <v>0</v>
      </c>
      <c r="F46">
        <f>IF(Лист1!J47="против",Лист1!$D47,0)</f>
        <v>0</v>
      </c>
      <c r="G46">
        <f>IF(Лист1!K47="против",Лист1!$D47,0)</f>
        <v>0</v>
      </c>
      <c r="H46">
        <f>IF(Лист1!L47="против",Лист1!$D47,0)</f>
        <v>2.0299999999999998</v>
      </c>
      <c r="I46">
        <f>IF(Лист1!M47="против",Лист1!$D47,0)</f>
        <v>2.0299999999999998</v>
      </c>
      <c r="J46">
        <f>IF(Лист1!N47="против",Лист1!$D47,0)</f>
        <v>2.0299999999999998</v>
      </c>
      <c r="K46">
        <f>IF(Лист1!O47="против",Лист1!$D47,0)</f>
        <v>0</v>
      </c>
      <c r="L46">
        <f>IF(Лист1!P47="против",Лист1!$D47,0)</f>
        <v>0</v>
      </c>
    </row>
    <row r="47" spans="1:12" x14ac:dyDescent="0.25">
      <c r="A47">
        <f>IF(Лист1!E48="против",Лист1!$D48,0)</f>
        <v>0</v>
      </c>
      <c r="B47">
        <f>IF(Лист1!F48="против",Лист1!$D48,0)</f>
        <v>0</v>
      </c>
      <c r="C47">
        <f>IF(Лист1!G48="против",Лист1!$D48,0)</f>
        <v>0</v>
      </c>
      <c r="D47">
        <f>IF(Лист1!H48="против",Лист1!$D48,0)</f>
        <v>0</v>
      </c>
      <c r="E47">
        <f>IF(Лист1!I48="против",Лист1!$D48,0)</f>
        <v>0</v>
      </c>
      <c r="F47">
        <f>IF(Лист1!J48="против",Лист1!$D48,0)</f>
        <v>0</v>
      </c>
      <c r="G47">
        <f>IF(Лист1!K48="против",Лист1!$D48,0)</f>
        <v>0</v>
      </c>
      <c r="H47">
        <f>IF(Лист1!L48="против",Лист1!$D48,0)</f>
        <v>0</v>
      </c>
      <c r="I47">
        <f>IF(Лист1!M48="против",Лист1!$D48,0)</f>
        <v>0</v>
      </c>
      <c r="J47">
        <f>IF(Лист1!N48="против",Лист1!$D48,0)</f>
        <v>0</v>
      </c>
      <c r="K47">
        <f>IF(Лист1!O48="против",Лист1!$D48,0)</f>
        <v>0</v>
      </c>
      <c r="L47">
        <f>IF(Лист1!P48="против",Лист1!$D48,0)</f>
        <v>0</v>
      </c>
    </row>
    <row r="48" spans="1:12" x14ac:dyDescent="0.25">
      <c r="A48">
        <f>IF(Лист1!E49="против",Лист1!$D49,0)</f>
        <v>0</v>
      </c>
      <c r="B48">
        <f>IF(Лист1!F49="против",Лист1!$D49,0)</f>
        <v>0</v>
      </c>
      <c r="C48">
        <f>IF(Лист1!G49="против",Лист1!$D49,0)</f>
        <v>0</v>
      </c>
      <c r="D48">
        <f>IF(Лист1!H49="против",Лист1!$D49,0)</f>
        <v>0</v>
      </c>
      <c r="E48">
        <f>IF(Лист1!I49="против",Лист1!$D49,0)</f>
        <v>0</v>
      </c>
      <c r="F48">
        <f>IF(Лист1!J49="против",Лист1!$D49,0)</f>
        <v>0</v>
      </c>
      <c r="G48">
        <f>IF(Лист1!K49="против",Лист1!$D49,0)</f>
        <v>0</v>
      </c>
      <c r="H48">
        <f>IF(Лист1!L49="против",Лист1!$D49,0)</f>
        <v>0</v>
      </c>
      <c r="I48">
        <f>IF(Лист1!M49="против",Лист1!$D49,0)</f>
        <v>0</v>
      </c>
      <c r="J48">
        <f>IF(Лист1!N49="против",Лист1!$D49,0)</f>
        <v>0</v>
      </c>
      <c r="K48">
        <f>IF(Лист1!O49="против",Лист1!$D49,0)</f>
        <v>0</v>
      </c>
      <c r="L48">
        <f>IF(Лист1!P49="против",Лист1!$D49,0)</f>
        <v>0</v>
      </c>
    </row>
    <row r="49" spans="1:12" x14ac:dyDescent="0.25">
      <c r="A49">
        <f>IF(Лист1!E50="против",Лист1!$D50,0)</f>
        <v>0</v>
      </c>
      <c r="B49">
        <f>IF(Лист1!F50="против",Лист1!$D50,0)</f>
        <v>0</v>
      </c>
      <c r="C49">
        <f>IF(Лист1!G50="против",Лист1!$D50,0)</f>
        <v>0</v>
      </c>
      <c r="D49">
        <f>IF(Лист1!H50="против",Лист1!$D50,0)</f>
        <v>0</v>
      </c>
      <c r="E49">
        <f>IF(Лист1!I50="против",Лист1!$D50,0)</f>
        <v>0</v>
      </c>
      <c r="F49">
        <f>IF(Лист1!J50="против",Лист1!$D50,0)</f>
        <v>0</v>
      </c>
      <c r="G49">
        <f>IF(Лист1!K50="против",Лист1!$D50,0)</f>
        <v>0</v>
      </c>
      <c r="H49">
        <f>IF(Лист1!L50="против",Лист1!$D50,0)</f>
        <v>0</v>
      </c>
      <c r="I49">
        <f>IF(Лист1!M50="против",Лист1!$D50,0)</f>
        <v>0</v>
      </c>
      <c r="J49">
        <f>IF(Лист1!N50="против",Лист1!$D50,0)</f>
        <v>0</v>
      </c>
      <c r="K49">
        <f>IF(Лист1!O50="против",Лист1!$D50,0)</f>
        <v>0</v>
      </c>
      <c r="L49">
        <f>IF(Лист1!P50="против",Лист1!$D50,0)</f>
        <v>0</v>
      </c>
    </row>
    <row r="50" spans="1:12" x14ac:dyDescent="0.25">
      <c r="A50">
        <f>IF(Лист1!E51="против",Лист1!$D51,0)</f>
        <v>0</v>
      </c>
      <c r="B50">
        <f>IF(Лист1!F51="против",Лист1!$D51,0)</f>
        <v>0</v>
      </c>
      <c r="C50">
        <f>IF(Лист1!G51="против",Лист1!$D51,0)</f>
        <v>0</v>
      </c>
      <c r="D50">
        <f>IF(Лист1!H51="против",Лист1!$D51,0)</f>
        <v>0</v>
      </c>
      <c r="E50">
        <f>IF(Лист1!I51="против",Лист1!$D51,0)</f>
        <v>0</v>
      </c>
      <c r="F50">
        <f>IF(Лист1!J51="против",Лист1!$D51,0)</f>
        <v>0</v>
      </c>
      <c r="G50">
        <f>IF(Лист1!K51="против",Лист1!$D51,0)</f>
        <v>0</v>
      </c>
      <c r="H50">
        <f>IF(Лист1!L51="против",Лист1!$D51,0)</f>
        <v>0</v>
      </c>
      <c r="I50">
        <f>IF(Лист1!M51="против",Лист1!$D51,0)</f>
        <v>0</v>
      </c>
      <c r="J50">
        <f>IF(Лист1!N51="против",Лист1!$D51,0)</f>
        <v>0</v>
      </c>
      <c r="K50">
        <f>IF(Лист1!O51="против",Лист1!$D51,0)</f>
        <v>0</v>
      </c>
      <c r="L50">
        <f>IF(Лист1!P51="против",Лист1!$D51,0)</f>
        <v>0</v>
      </c>
    </row>
    <row r="51" spans="1:12" x14ac:dyDescent="0.25">
      <c r="A51">
        <f>IF(Лист1!E52="против",Лист1!$D52,0)</f>
        <v>0</v>
      </c>
      <c r="B51">
        <f>IF(Лист1!F52="против",Лист1!$D52,0)</f>
        <v>0</v>
      </c>
      <c r="C51">
        <f>IF(Лист1!G52="против",Лист1!$D52,0)</f>
        <v>0</v>
      </c>
      <c r="D51">
        <f>IF(Лист1!H52="против",Лист1!$D52,0)</f>
        <v>0</v>
      </c>
      <c r="E51">
        <f>IF(Лист1!I52="против",Лист1!$D52,0)</f>
        <v>0</v>
      </c>
      <c r="F51">
        <f>IF(Лист1!J52="против",Лист1!$D52,0)</f>
        <v>0</v>
      </c>
      <c r="G51">
        <f>IF(Лист1!K52="против",Лист1!$D52,0)</f>
        <v>0</v>
      </c>
      <c r="H51">
        <f>IF(Лист1!L52="против",Лист1!$D52,0)</f>
        <v>1.01</v>
      </c>
      <c r="I51">
        <f>IF(Лист1!M52="против",Лист1!$D52,0)</f>
        <v>1.01</v>
      </c>
      <c r="J51">
        <f>IF(Лист1!N52="против",Лист1!$D52,0)</f>
        <v>1.01</v>
      </c>
      <c r="K51">
        <f>IF(Лист1!O52="против",Лист1!$D52,0)</f>
        <v>0</v>
      </c>
      <c r="L51">
        <f>IF(Лист1!P52="против",Лист1!$D52,0)</f>
        <v>0</v>
      </c>
    </row>
    <row r="52" spans="1:12" x14ac:dyDescent="0.25">
      <c r="A52">
        <f>IF(Лист1!E53="против",Лист1!$D53,0)</f>
        <v>0</v>
      </c>
      <c r="B52">
        <f>IF(Лист1!F53="против",Лист1!$D53,0)</f>
        <v>0</v>
      </c>
      <c r="C52">
        <f>IF(Лист1!G53="против",Лист1!$D53,0)</f>
        <v>0</v>
      </c>
      <c r="D52">
        <f>IF(Лист1!H53="против",Лист1!$D53,0)</f>
        <v>0</v>
      </c>
      <c r="E52">
        <f>IF(Лист1!I53="против",Лист1!$D53,0)</f>
        <v>0</v>
      </c>
      <c r="F52">
        <f>IF(Лист1!J53="против",Лист1!$D53,0)</f>
        <v>0</v>
      </c>
      <c r="G52">
        <f>IF(Лист1!K53="против",Лист1!$D53,0)</f>
        <v>0</v>
      </c>
      <c r="H52">
        <f>IF(Лист1!L53="против",Лист1!$D53,0)</f>
        <v>1.01</v>
      </c>
      <c r="I52">
        <f>IF(Лист1!M53="против",Лист1!$D53,0)</f>
        <v>1.01</v>
      </c>
      <c r="J52">
        <f>IF(Лист1!N53="против",Лист1!$D53,0)</f>
        <v>1.01</v>
      </c>
      <c r="K52">
        <f>IF(Лист1!O53="против",Лист1!$D53,0)</f>
        <v>0</v>
      </c>
      <c r="L52">
        <f>IF(Лист1!P53="против",Лист1!$D53,0)</f>
        <v>0</v>
      </c>
    </row>
    <row r="53" spans="1:12" x14ac:dyDescent="0.25">
      <c r="A53">
        <f>IF(Лист1!E54="против",Лист1!$D54,0)</f>
        <v>0</v>
      </c>
      <c r="B53">
        <f>IF(Лист1!F54="против",Лист1!$D54,0)</f>
        <v>0</v>
      </c>
      <c r="C53">
        <f>IF(Лист1!G54="против",Лист1!$D54,0)</f>
        <v>0</v>
      </c>
      <c r="D53">
        <f>IF(Лист1!H54="против",Лист1!$D54,0)</f>
        <v>0</v>
      </c>
      <c r="E53">
        <f>IF(Лист1!I54="против",Лист1!$D54,0)</f>
        <v>0</v>
      </c>
      <c r="F53">
        <f>IF(Лист1!J54="против",Лист1!$D54,0)</f>
        <v>0</v>
      </c>
      <c r="G53">
        <f>IF(Лист1!K54="против",Лист1!$D54,0)</f>
        <v>0</v>
      </c>
      <c r="H53">
        <f>IF(Лист1!L54="против",Лист1!$D54,0)</f>
        <v>0</v>
      </c>
      <c r="I53">
        <f>IF(Лист1!M54="против",Лист1!$D54,0)</f>
        <v>0</v>
      </c>
      <c r="J53">
        <f>IF(Лист1!N54="против",Лист1!$D54,0)</f>
        <v>0</v>
      </c>
      <c r="K53">
        <f>IF(Лист1!O54="против",Лист1!$D54,0)</f>
        <v>0</v>
      </c>
      <c r="L53">
        <f>IF(Лист1!P54="против",Лист1!$D54,0)</f>
        <v>0</v>
      </c>
    </row>
    <row r="54" spans="1:12" x14ac:dyDescent="0.25">
      <c r="A54">
        <f>IF(Лист1!E55="против",Лист1!$D55,0)</f>
        <v>0</v>
      </c>
      <c r="B54">
        <f>IF(Лист1!F55="против",Лист1!$D55,0)</f>
        <v>0</v>
      </c>
      <c r="C54">
        <f>IF(Лист1!G55="против",Лист1!$D55,0)</f>
        <v>0</v>
      </c>
      <c r="D54">
        <f>IF(Лист1!H55="против",Лист1!$D55,0)</f>
        <v>0</v>
      </c>
      <c r="E54">
        <f>IF(Лист1!I55="против",Лист1!$D55,0)</f>
        <v>0</v>
      </c>
      <c r="F54">
        <f>IF(Лист1!J55="против",Лист1!$D55,0)</f>
        <v>0</v>
      </c>
      <c r="G54">
        <f>IF(Лист1!K55="против",Лист1!$D55,0)</f>
        <v>0</v>
      </c>
      <c r="H54">
        <f>IF(Лист1!L55="против",Лист1!$D55,0)</f>
        <v>0</v>
      </c>
      <c r="I54">
        <f>IF(Лист1!M55="против",Лист1!$D55,0)</f>
        <v>0</v>
      </c>
      <c r="J54">
        <f>IF(Лист1!N55="против",Лист1!$D55,0)</f>
        <v>0</v>
      </c>
      <c r="K54">
        <f>IF(Лист1!O55="против",Лист1!$D55,0)</f>
        <v>0</v>
      </c>
      <c r="L54">
        <f>IF(Лист1!P55="против",Лист1!$D55,0)</f>
        <v>0</v>
      </c>
    </row>
    <row r="55" spans="1:12" x14ac:dyDescent="0.25">
      <c r="A55">
        <f>IF(Лист1!E56="против",Лист1!$D56,0)</f>
        <v>0</v>
      </c>
      <c r="B55">
        <f>IF(Лист1!F56="против",Лист1!$D56,0)</f>
        <v>0</v>
      </c>
      <c r="C55">
        <f>IF(Лист1!G56="против",Лист1!$D56,0)</f>
        <v>0</v>
      </c>
      <c r="D55">
        <f>IF(Лист1!H56="против",Лист1!$D56,0)</f>
        <v>0</v>
      </c>
      <c r="E55">
        <f>IF(Лист1!I56="против",Лист1!$D56,0)</f>
        <v>0</v>
      </c>
      <c r="F55">
        <f>IF(Лист1!J56="против",Лист1!$D56,0)</f>
        <v>0</v>
      </c>
      <c r="G55">
        <f>IF(Лист1!K56="против",Лист1!$D56,0)</f>
        <v>0</v>
      </c>
      <c r="H55">
        <f>IF(Лист1!L56="против",Лист1!$D56,0)</f>
        <v>2</v>
      </c>
      <c r="I55">
        <f>IF(Лист1!M56="против",Лист1!$D56,0)</f>
        <v>2</v>
      </c>
      <c r="J55">
        <f>IF(Лист1!N56="против",Лист1!$D56,0)</f>
        <v>0</v>
      </c>
      <c r="K55">
        <f>IF(Лист1!O56="против",Лист1!$D56,0)</f>
        <v>0</v>
      </c>
      <c r="L55">
        <f>IF(Лист1!P56="против",Лист1!$D56,0)</f>
        <v>0</v>
      </c>
    </row>
    <row r="56" spans="1:12" x14ac:dyDescent="0.25">
      <c r="A56">
        <f>IF(Лист1!E57="против",Лист1!$D57,0)</f>
        <v>0</v>
      </c>
      <c r="B56">
        <f>IF(Лист1!F57="против",Лист1!$D57,0)</f>
        <v>0</v>
      </c>
      <c r="C56">
        <f>IF(Лист1!G57="против",Лист1!$D57,0)</f>
        <v>0</v>
      </c>
      <c r="D56">
        <f>IF(Лист1!H57="против",Лист1!$D57,0)</f>
        <v>0</v>
      </c>
      <c r="E56">
        <f>IF(Лист1!I57="против",Лист1!$D57,0)</f>
        <v>0</v>
      </c>
      <c r="F56">
        <f>IF(Лист1!J57="против",Лист1!$D57,0)</f>
        <v>0</v>
      </c>
      <c r="G56">
        <f>IF(Лист1!K57="против",Лист1!$D57,0)</f>
        <v>0</v>
      </c>
      <c r="H56">
        <f>IF(Лист1!L57="против",Лист1!$D57,0)</f>
        <v>0</v>
      </c>
      <c r="I56">
        <f>IF(Лист1!M57="против",Лист1!$D57,0)</f>
        <v>0</v>
      </c>
      <c r="J56">
        <f>IF(Лист1!N57="против",Лист1!$D57,0)</f>
        <v>0</v>
      </c>
      <c r="K56">
        <f>IF(Лист1!O57="против",Лист1!$D57,0)</f>
        <v>0</v>
      </c>
      <c r="L56">
        <f>IF(Лист1!P57="против",Лист1!$D57,0)</f>
        <v>0</v>
      </c>
    </row>
    <row r="57" spans="1:12" x14ac:dyDescent="0.25">
      <c r="A57">
        <f>IF(Лист1!E58="против",Лист1!$D58,0)</f>
        <v>0</v>
      </c>
      <c r="B57">
        <f>IF(Лист1!F58="против",Лист1!$D58,0)</f>
        <v>0</v>
      </c>
      <c r="C57">
        <f>IF(Лист1!G58="против",Лист1!$D58,0)</f>
        <v>0</v>
      </c>
      <c r="D57">
        <f>IF(Лист1!H58="против",Лист1!$D58,0)</f>
        <v>0</v>
      </c>
      <c r="E57">
        <f>IF(Лист1!I58="против",Лист1!$D58,0)</f>
        <v>0</v>
      </c>
      <c r="F57">
        <f>IF(Лист1!J58="против",Лист1!$D58,0)</f>
        <v>0</v>
      </c>
      <c r="G57">
        <f>IF(Лист1!K58="против",Лист1!$D58,0)</f>
        <v>0</v>
      </c>
      <c r="H57">
        <f>IF(Лист1!L58="против",Лист1!$D58,0)</f>
        <v>0</v>
      </c>
      <c r="I57">
        <f>IF(Лист1!M58="против",Лист1!$D58,0)</f>
        <v>0</v>
      </c>
      <c r="J57">
        <f>IF(Лист1!N58="против",Лист1!$D58,0)</f>
        <v>0</v>
      </c>
      <c r="K57">
        <f>IF(Лист1!O58="против",Лист1!$D58,0)</f>
        <v>0</v>
      </c>
      <c r="L57">
        <f>IF(Лист1!P58="против",Лист1!$D58,0)</f>
        <v>0</v>
      </c>
    </row>
    <row r="58" spans="1:12" x14ac:dyDescent="0.25">
      <c r="A58">
        <f>SUM(A1:A57)</f>
        <v>4.1500000000000004</v>
      </c>
      <c r="B58">
        <f t="shared" ref="B58:L58" si="0">SUM(B1:B57)</f>
        <v>0</v>
      </c>
      <c r="C58">
        <f t="shared" si="0"/>
        <v>2</v>
      </c>
      <c r="D58">
        <f t="shared" si="0"/>
        <v>0</v>
      </c>
      <c r="E58">
        <f t="shared" si="0"/>
        <v>4.1500000000000004</v>
      </c>
      <c r="F58">
        <f t="shared" si="0"/>
        <v>4.1500000000000004</v>
      </c>
      <c r="G58">
        <f t="shared" si="0"/>
        <v>0</v>
      </c>
      <c r="H58">
        <f t="shared" si="0"/>
        <v>28.580000000000002</v>
      </c>
      <c r="I58">
        <f t="shared" si="0"/>
        <v>25.560000000000002</v>
      </c>
      <c r="J58">
        <f t="shared" si="0"/>
        <v>16.11</v>
      </c>
      <c r="K58">
        <f t="shared" si="0"/>
        <v>0</v>
      </c>
      <c r="L58">
        <f t="shared" si="0"/>
        <v>5.26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opLeftCell="A40" workbookViewId="0">
      <selection activeCell="A58" sqref="A58:L58"/>
    </sheetView>
  </sheetViews>
  <sheetFormatPr defaultRowHeight="15" x14ac:dyDescent="0.25"/>
  <cols>
    <col min="1" max="1" width="9.140625" customWidth="1"/>
  </cols>
  <sheetData>
    <row r="1" spans="1:12" x14ac:dyDescent="0.25">
      <c r="A1">
        <f>IF(Лист1!E2="воздержался",Лист1!$D2,0)</f>
        <v>0</v>
      </c>
      <c r="B1">
        <f>IF(Лист1!F2="воздержался",Лист1!$D2,0)</f>
        <v>0</v>
      </c>
      <c r="C1">
        <f>IF(Лист1!G2="воздержался",Лист1!$D2,0)</f>
        <v>0</v>
      </c>
      <c r="D1">
        <f>IF(Лист1!H2="воздержался",Лист1!$D2,0)</f>
        <v>0</v>
      </c>
      <c r="E1">
        <f>IF(Лист1!I2="воздержался",Лист1!$D2,0)</f>
        <v>1.63</v>
      </c>
      <c r="F1">
        <f>IF(Лист1!J2="воздержался",Лист1!$D2,0)</f>
        <v>0</v>
      </c>
      <c r="G1">
        <f>IF(Лист1!K2="воздержался",Лист1!$D2,0)</f>
        <v>0</v>
      </c>
      <c r="H1">
        <f>IF(Лист1!L2="воздержался",Лист1!$D2,0)</f>
        <v>0</v>
      </c>
      <c r="I1">
        <f>IF(Лист1!M2="воздержался",Лист1!$D2,0)</f>
        <v>0</v>
      </c>
      <c r="J1">
        <f>IF(Лист1!N2="воздержался",Лист1!$D2,0)</f>
        <v>1.63</v>
      </c>
      <c r="K1">
        <f>IF(Лист1!O2="воздержался",Лист1!$D2,0)</f>
        <v>0</v>
      </c>
      <c r="L1">
        <f>IF(Лист1!P2="воздержался",Лист1!$D2,0)</f>
        <v>0</v>
      </c>
    </row>
    <row r="2" spans="1:12" x14ac:dyDescent="0.25">
      <c r="A2">
        <f>IF(Лист1!E3="воздержался",Лист1!$D3,0)</f>
        <v>0</v>
      </c>
      <c r="B2">
        <f>IF(Лист1!F3="воздержался",Лист1!$D3,0)</f>
        <v>0</v>
      </c>
      <c r="C2">
        <f>IF(Лист1!G3="воздержался",Лист1!$D3,0)</f>
        <v>0</v>
      </c>
      <c r="D2">
        <f>IF(Лист1!H3="воздержался",Лист1!$D3,0)</f>
        <v>0</v>
      </c>
      <c r="E2">
        <f>IF(Лист1!I3="воздержался",Лист1!$D3,0)</f>
        <v>1.63</v>
      </c>
      <c r="F2">
        <f>IF(Лист1!J3="воздержался",Лист1!$D3,0)</f>
        <v>0</v>
      </c>
      <c r="G2">
        <f>IF(Лист1!K3="воздержался",Лист1!$D3,0)</f>
        <v>0</v>
      </c>
      <c r="H2">
        <f>IF(Лист1!L3="воздержался",Лист1!$D3,0)</f>
        <v>0</v>
      </c>
      <c r="I2">
        <f>IF(Лист1!M3="воздержался",Лист1!$D3,0)</f>
        <v>0</v>
      </c>
      <c r="J2">
        <f>IF(Лист1!N3="воздержался",Лист1!$D3,0)</f>
        <v>1.63</v>
      </c>
      <c r="K2">
        <f>IF(Лист1!O3="воздержался",Лист1!$D3,0)</f>
        <v>0</v>
      </c>
      <c r="L2">
        <f>IF(Лист1!P3="воздержался",Лист1!$D3,0)</f>
        <v>0</v>
      </c>
    </row>
    <row r="3" spans="1:12" x14ac:dyDescent="0.25">
      <c r="A3">
        <f>IF(Лист1!E4="воздержался",Лист1!$D4,0)</f>
        <v>0</v>
      </c>
      <c r="B3">
        <f>IF(Лист1!F4="воздержался",Лист1!$D4,0)</f>
        <v>0</v>
      </c>
      <c r="C3">
        <f>IF(Лист1!G4="воздержался",Лист1!$D4,0)</f>
        <v>0</v>
      </c>
      <c r="D3">
        <f>IF(Лист1!H4="воздержался",Лист1!$D4,0)</f>
        <v>0</v>
      </c>
      <c r="E3">
        <f>IF(Лист1!I4="воздержался",Лист1!$D4,0)</f>
        <v>0</v>
      </c>
      <c r="F3">
        <f>IF(Лист1!J4="воздержался",Лист1!$D4,0)</f>
        <v>0</v>
      </c>
      <c r="G3">
        <f>IF(Лист1!K4="воздержался",Лист1!$D4,0)</f>
        <v>0</v>
      </c>
      <c r="H3">
        <f>IF(Лист1!L4="воздержался",Лист1!$D4,0)</f>
        <v>0</v>
      </c>
      <c r="I3">
        <f>IF(Лист1!M4="воздержался",Лист1!$D4,0)</f>
        <v>0</v>
      </c>
      <c r="J3">
        <f>IF(Лист1!N4="воздержался",Лист1!$D4,0)</f>
        <v>0</v>
      </c>
      <c r="K3">
        <f>IF(Лист1!O4="воздержался",Лист1!$D4,0)</f>
        <v>0</v>
      </c>
      <c r="L3">
        <f>IF(Лист1!P4="воздержался",Лист1!$D4,0)</f>
        <v>0</v>
      </c>
    </row>
    <row r="4" spans="1:12" x14ac:dyDescent="0.25">
      <c r="A4">
        <f>IF(Лист1!E5="воздержался",Лист1!$D5,0)</f>
        <v>0</v>
      </c>
      <c r="B4">
        <f>IF(Лист1!F5="воздержался",Лист1!$D5,0)</f>
        <v>0</v>
      </c>
      <c r="C4">
        <f>IF(Лист1!G5="воздержался",Лист1!$D5,0)</f>
        <v>0</v>
      </c>
      <c r="D4">
        <f>IF(Лист1!H5="воздержался",Лист1!$D5,0)</f>
        <v>0</v>
      </c>
      <c r="E4">
        <f>IF(Лист1!I5="воздержался",Лист1!$D5,0)</f>
        <v>0</v>
      </c>
      <c r="F4">
        <f>IF(Лист1!J5="воздержался",Лист1!$D5,0)</f>
        <v>0</v>
      </c>
      <c r="G4">
        <f>IF(Лист1!K5="воздержался",Лист1!$D5,0)</f>
        <v>0</v>
      </c>
      <c r="H4">
        <f>IF(Лист1!L5="воздержался",Лист1!$D5,0)</f>
        <v>0</v>
      </c>
      <c r="I4">
        <f>IF(Лист1!M5="воздержался",Лист1!$D5,0)</f>
        <v>0</v>
      </c>
      <c r="J4">
        <f>IF(Лист1!N5="воздержался",Лист1!$D5,0)</f>
        <v>2.04</v>
      </c>
      <c r="K4">
        <f>IF(Лист1!O5="воздержался",Лист1!$D5,0)</f>
        <v>0</v>
      </c>
      <c r="L4">
        <f>IF(Лист1!P5="воздержался",Лист1!$D5,0)</f>
        <v>0</v>
      </c>
    </row>
    <row r="5" spans="1:12" x14ac:dyDescent="0.25">
      <c r="A5">
        <f>IF(Лист1!E6="воздержался",Лист1!$D6,0)</f>
        <v>0</v>
      </c>
      <c r="B5">
        <f>IF(Лист1!F6="воздержался",Лист1!$D6,0)</f>
        <v>0</v>
      </c>
      <c r="C5">
        <f>IF(Лист1!G6="воздержался",Лист1!$D6,0)</f>
        <v>1.51</v>
      </c>
      <c r="D5">
        <f>IF(Лист1!H6="воздержался",Лист1!$D6,0)</f>
        <v>1.51</v>
      </c>
      <c r="E5">
        <f>IF(Лист1!I6="воздержался",Лист1!$D6,0)</f>
        <v>1.51</v>
      </c>
      <c r="F5">
        <f>IF(Лист1!J6="воздержался",Лист1!$D6,0)</f>
        <v>1.51</v>
      </c>
      <c r="G5">
        <f>IF(Лист1!K6="воздержался",Лист1!$D6,0)</f>
        <v>0</v>
      </c>
      <c r="H5">
        <f>IF(Лист1!L6="воздержался",Лист1!$D6,0)</f>
        <v>0</v>
      </c>
      <c r="I5">
        <f>IF(Лист1!M6="воздержался",Лист1!$D6,0)</f>
        <v>1.51</v>
      </c>
      <c r="J5">
        <f>IF(Лист1!N6="воздержался",Лист1!$D6,0)</f>
        <v>1.51</v>
      </c>
      <c r="K5">
        <f>IF(Лист1!O6="воздержался",Лист1!$D6,0)</f>
        <v>0</v>
      </c>
      <c r="L5">
        <f>IF(Лист1!P6="воздержался",Лист1!$D6,0)</f>
        <v>0</v>
      </c>
    </row>
    <row r="6" spans="1:12" x14ac:dyDescent="0.25">
      <c r="A6">
        <f>IF(Лист1!E7="воздержался",Лист1!$D7,0)</f>
        <v>0</v>
      </c>
      <c r="B6">
        <f>IF(Лист1!F7="воздержался",Лист1!$D7,0)</f>
        <v>0</v>
      </c>
      <c r="C6">
        <f>IF(Лист1!G7="воздержался",Лист1!$D7,0)</f>
        <v>1.51</v>
      </c>
      <c r="D6">
        <f>IF(Лист1!H7="воздержался",Лист1!$D7,0)</f>
        <v>1.51</v>
      </c>
      <c r="E6">
        <f>IF(Лист1!I7="воздержался",Лист1!$D7,0)</f>
        <v>1.51</v>
      </c>
      <c r="F6">
        <f>IF(Лист1!J7="воздержался",Лист1!$D7,0)</f>
        <v>1.51</v>
      </c>
      <c r="G6">
        <f>IF(Лист1!K7="воздержался",Лист1!$D7,0)</f>
        <v>0</v>
      </c>
      <c r="H6">
        <f>IF(Лист1!L7="воздержался",Лист1!$D7,0)</f>
        <v>0</v>
      </c>
      <c r="I6">
        <f>IF(Лист1!M7="воздержался",Лист1!$D7,0)</f>
        <v>1.51</v>
      </c>
      <c r="J6">
        <f>IF(Лист1!N7="воздержался",Лист1!$D7,0)</f>
        <v>1.51</v>
      </c>
      <c r="K6">
        <f>IF(Лист1!O7="воздержался",Лист1!$D7,0)</f>
        <v>0</v>
      </c>
      <c r="L6">
        <f>IF(Лист1!P7="воздержался",Лист1!$D7,0)</f>
        <v>0</v>
      </c>
    </row>
    <row r="7" spans="1:12" x14ac:dyDescent="0.25">
      <c r="A7">
        <f>IF(Лист1!E8="воздержался",Лист1!$D8,0)</f>
        <v>0</v>
      </c>
      <c r="B7">
        <f>IF(Лист1!F8="воздержался",Лист1!$D8,0)</f>
        <v>0</v>
      </c>
      <c r="C7">
        <f>IF(Лист1!G8="воздержался",Лист1!$D8,0)</f>
        <v>0</v>
      </c>
      <c r="D7">
        <f>IF(Лист1!H8="воздержался",Лист1!$D8,0)</f>
        <v>0</v>
      </c>
      <c r="E7">
        <f>IF(Лист1!I8="воздержался",Лист1!$D8,0)</f>
        <v>0</v>
      </c>
      <c r="F7">
        <f>IF(Лист1!J8="воздержался",Лист1!$D8,0)</f>
        <v>0</v>
      </c>
      <c r="G7">
        <f>IF(Лист1!K8="воздержался",Лист1!$D8,0)</f>
        <v>2.15</v>
      </c>
      <c r="H7">
        <f>IF(Лист1!L8="воздержался",Лист1!$D8,0)</f>
        <v>2.15</v>
      </c>
      <c r="I7">
        <f>IF(Лист1!M8="воздержался",Лист1!$D8,0)</f>
        <v>2.15</v>
      </c>
      <c r="J7">
        <f>IF(Лист1!N8="воздержался",Лист1!$D8,0)</f>
        <v>0</v>
      </c>
      <c r="K7">
        <f>IF(Лист1!O8="воздержался",Лист1!$D8,0)</f>
        <v>0</v>
      </c>
      <c r="L7">
        <f>IF(Лист1!P8="воздержался",Лист1!$D8,0)</f>
        <v>0</v>
      </c>
    </row>
    <row r="8" spans="1:12" x14ac:dyDescent="0.25">
      <c r="A8">
        <f>IF(Лист1!E9="воздержался",Лист1!$D9,0)</f>
        <v>0</v>
      </c>
      <c r="B8">
        <f>IF(Лист1!F9="воздержался",Лист1!$D9,0)</f>
        <v>0</v>
      </c>
      <c r="C8">
        <f>IF(Лист1!G9="воздержался",Лист1!$D9,0)</f>
        <v>0</v>
      </c>
      <c r="D8">
        <f>IF(Лист1!H9="воздержался",Лист1!$D9,0)</f>
        <v>0</v>
      </c>
      <c r="E8">
        <f>IF(Лист1!I9="воздержался",Лист1!$D9,0)</f>
        <v>0</v>
      </c>
      <c r="F8">
        <f>IF(Лист1!J9="воздержался",Лист1!$D9,0)</f>
        <v>0</v>
      </c>
      <c r="G8">
        <f>IF(Лист1!K9="воздержался",Лист1!$D9,0)</f>
        <v>0</v>
      </c>
      <c r="H8">
        <f>IF(Лист1!L9="воздержался",Лист1!$D9,0)</f>
        <v>0</v>
      </c>
      <c r="I8">
        <f>IF(Лист1!M9="воздержался",Лист1!$D9,0)</f>
        <v>0</v>
      </c>
      <c r="J8">
        <f>IF(Лист1!N9="воздержался",Лист1!$D9,0)</f>
        <v>0</v>
      </c>
      <c r="K8">
        <f>IF(Лист1!O9="воздержался",Лист1!$D9,0)</f>
        <v>0</v>
      </c>
      <c r="L8">
        <f>IF(Лист1!P9="воздержался",Лист1!$D9,0)</f>
        <v>0</v>
      </c>
    </row>
    <row r="9" spans="1:12" x14ac:dyDescent="0.25">
      <c r="A9">
        <f>IF(Лист1!E10="воздержался",Лист1!$D10,0)</f>
        <v>0</v>
      </c>
      <c r="B9">
        <f>IF(Лист1!F10="воздержался",Лист1!$D10,0)</f>
        <v>0</v>
      </c>
      <c r="C9">
        <f>IF(Лист1!G10="воздержался",Лист1!$D10,0)</f>
        <v>0</v>
      </c>
      <c r="D9">
        <f>IF(Лист1!H10="воздержался",Лист1!$D10,0)</f>
        <v>0</v>
      </c>
      <c r="E9">
        <f>IF(Лист1!I10="воздержался",Лист1!$D10,0)</f>
        <v>0</v>
      </c>
      <c r="F9">
        <f>IF(Лист1!J10="воздержался",Лист1!$D10,0)</f>
        <v>0</v>
      </c>
      <c r="G9">
        <f>IF(Лист1!K10="воздержался",Лист1!$D10,0)</f>
        <v>0</v>
      </c>
      <c r="H9">
        <f>IF(Лист1!L10="воздержался",Лист1!$D10,0)</f>
        <v>0</v>
      </c>
      <c r="I9">
        <f>IF(Лист1!M10="воздержался",Лист1!$D10,0)</f>
        <v>0</v>
      </c>
      <c r="J9">
        <f>IF(Лист1!N10="воздержался",Лист1!$D10,0)</f>
        <v>0</v>
      </c>
      <c r="K9">
        <f>IF(Лист1!O10="воздержался",Лист1!$D10,0)</f>
        <v>0</v>
      </c>
      <c r="L9">
        <f>IF(Лист1!P10="воздержался",Лист1!$D10,0)</f>
        <v>0</v>
      </c>
    </row>
    <row r="10" spans="1:12" x14ac:dyDescent="0.25">
      <c r="A10">
        <f>IF(Лист1!E11="воздержался",Лист1!$D11,0)</f>
        <v>0</v>
      </c>
      <c r="B10">
        <f>IF(Лист1!F11="воздержался",Лист1!$D11,0)</f>
        <v>1.6</v>
      </c>
      <c r="C10">
        <f>IF(Лист1!G11="воздержался",Лист1!$D11,0)</f>
        <v>0</v>
      </c>
      <c r="D10">
        <f>IF(Лист1!H11="воздержался",Лист1!$D11,0)</f>
        <v>0</v>
      </c>
      <c r="E10">
        <f>IF(Лист1!I11="воздержался",Лист1!$D11,0)</f>
        <v>0</v>
      </c>
      <c r="F10">
        <f>IF(Лист1!J11="воздержался",Лист1!$D11,0)</f>
        <v>0</v>
      </c>
      <c r="G10">
        <f>IF(Лист1!K11="воздержался",Лист1!$D11,0)</f>
        <v>0</v>
      </c>
      <c r="H10">
        <f>IF(Лист1!L11="воздержался",Лист1!$D11,0)</f>
        <v>0</v>
      </c>
      <c r="I10">
        <f>IF(Лист1!M11="воздержался",Лист1!$D11,0)</f>
        <v>0</v>
      </c>
      <c r="J10">
        <f>IF(Лист1!N11="воздержался",Лист1!$D11,0)</f>
        <v>0</v>
      </c>
      <c r="K10">
        <f>IF(Лист1!O11="воздержался",Лист1!$D11,0)</f>
        <v>0</v>
      </c>
      <c r="L10">
        <f>IF(Лист1!P11="воздержался",Лист1!$D11,0)</f>
        <v>0</v>
      </c>
    </row>
    <row r="11" spans="1:12" x14ac:dyDescent="0.25">
      <c r="A11">
        <f>IF(Лист1!E12="воздержался",Лист1!$D12,0)</f>
        <v>0</v>
      </c>
      <c r="B11">
        <f>IF(Лист1!F12="воздержался",Лист1!$D12,0)</f>
        <v>1.6</v>
      </c>
      <c r="C11">
        <f>IF(Лист1!G12="воздержался",Лист1!$D12,0)</f>
        <v>0</v>
      </c>
      <c r="D11">
        <f>IF(Лист1!H12="воздержался",Лист1!$D12,0)</f>
        <v>0</v>
      </c>
      <c r="E11">
        <f>IF(Лист1!I12="воздержался",Лист1!$D12,0)</f>
        <v>0</v>
      </c>
      <c r="F11">
        <f>IF(Лист1!J12="воздержался",Лист1!$D12,0)</f>
        <v>0</v>
      </c>
      <c r="G11">
        <f>IF(Лист1!K12="воздержался",Лист1!$D12,0)</f>
        <v>0</v>
      </c>
      <c r="H11">
        <f>IF(Лист1!L12="воздержался",Лист1!$D12,0)</f>
        <v>0</v>
      </c>
      <c r="I11">
        <f>IF(Лист1!M12="воздержался",Лист1!$D12,0)</f>
        <v>0</v>
      </c>
      <c r="J11">
        <f>IF(Лист1!N12="воздержался",Лист1!$D12,0)</f>
        <v>0</v>
      </c>
      <c r="K11">
        <f>IF(Лист1!O12="воздержался",Лист1!$D12,0)</f>
        <v>0</v>
      </c>
      <c r="L11">
        <f>IF(Лист1!P12="воздержался",Лист1!$D12,0)</f>
        <v>0</v>
      </c>
    </row>
    <row r="12" spans="1:12" x14ac:dyDescent="0.25">
      <c r="A12">
        <f>IF(Лист1!E13="воздержался",Лист1!$D13,0)</f>
        <v>0</v>
      </c>
      <c r="B12">
        <f>IF(Лист1!F13="воздержался",Лист1!$D13,0)</f>
        <v>0</v>
      </c>
      <c r="C12">
        <f>IF(Лист1!G13="воздержался",Лист1!$D13,0)</f>
        <v>0</v>
      </c>
      <c r="D12">
        <f>IF(Лист1!H13="воздержался",Лист1!$D13,0)</f>
        <v>0</v>
      </c>
      <c r="E12">
        <f>IF(Лист1!I13="воздержался",Лист1!$D13,0)</f>
        <v>0</v>
      </c>
      <c r="F12">
        <f>IF(Лист1!J13="воздержался",Лист1!$D13,0)</f>
        <v>0</v>
      </c>
      <c r="G12">
        <f>IF(Лист1!K13="воздержался",Лист1!$D13,0)</f>
        <v>0</v>
      </c>
      <c r="H12">
        <f>IF(Лист1!L13="воздержался",Лист1!$D13,0)</f>
        <v>0</v>
      </c>
      <c r="I12">
        <f>IF(Лист1!M13="воздержался",Лист1!$D13,0)</f>
        <v>0</v>
      </c>
      <c r="J12">
        <f>IF(Лист1!N13="воздержался",Лист1!$D13,0)</f>
        <v>0</v>
      </c>
      <c r="K12">
        <f>IF(Лист1!O13="воздержался",Лист1!$D13,0)</f>
        <v>0</v>
      </c>
      <c r="L12">
        <f>IF(Лист1!P13="воздержался",Лист1!$D13,0)</f>
        <v>0</v>
      </c>
    </row>
    <row r="13" spans="1:12" x14ac:dyDescent="0.25">
      <c r="A13">
        <f>IF(Лист1!E14="воздержался",Лист1!$D14,0)</f>
        <v>0</v>
      </c>
      <c r="B13">
        <f>IF(Лист1!F14="воздержался",Лист1!$D14,0)</f>
        <v>0</v>
      </c>
      <c r="C13">
        <f>IF(Лист1!G14="воздержался",Лист1!$D14,0)</f>
        <v>0</v>
      </c>
      <c r="D13">
        <f>IF(Лист1!H14="воздержался",Лист1!$D14,0)</f>
        <v>0</v>
      </c>
      <c r="E13">
        <f>IF(Лист1!I14="воздержался",Лист1!$D14,0)</f>
        <v>0</v>
      </c>
      <c r="F13">
        <f>IF(Лист1!J14="воздержался",Лист1!$D14,0)</f>
        <v>0</v>
      </c>
      <c r="G13">
        <f>IF(Лист1!K14="воздержался",Лист1!$D14,0)</f>
        <v>0</v>
      </c>
      <c r="H13">
        <f>IF(Лист1!L14="воздержался",Лист1!$D14,0)</f>
        <v>0</v>
      </c>
      <c r="I13">
        <f>IF(Лист1!M14="воздержался",Лист1!$D14,0)</f>
        <v>0</v>
      </c>
      <c r="J13">
        <f>IF(Лист1!N14="воздержался",Лист1!$D14,0)</f>
        <v>0</v>
      </c>
      <c r="K13">
        <f>IF(Лист1!O14="воздержался",Лист1!$D14,0)</f>
        <v>0</v>
      </c>
      <c r="L13">
        <f>IF(Лист1!P14="воздержался",Лист1!$D14,0)</f>
        <v>0</v>
      </c>
    </row>
    <row r="14" spans="1:12" x14ac:dyDescent="0.25">
      <c r="A14">
        <f>IF(Лист1!E15="воздержался",Лист1!$D15,0)</f>
        <v>0</v>
      </c>
      <c r="B14">
        <f>IF(Лист1!F15="воздержался",Лист1!$D15,0)</f>
        <v>0</v>
      </c>
      <c r="C14">
        <f>IF(Лист1!G15="воздержался",Лист1!$D15,0)</f>
        <v>0</v>
      </c>
      <c r="D14">
        <f>IF(Лист1!H15="воздержался",Лист1!$D15,0)</f>
        <v>0</v>
      </c>
      <c r="E14">
        <f>IF(Лист1!I15="воздержался",Лист1!$D15,0)</f>
        <v>0</v>
      </c>
      <c r="F14">
        <f>IF(Лист1!J15="воздержался",Лист1!$D15,0)</f>
        <v>0</v>
      </c>
      <c r="G14">
        <f>IF(Лист1!K15="воздержался",Лист1!$D15,0)</f>
        <v>0</v>
      </c>
      <c r="H14">
        <f>IF(Лист1!L15="воздержался",Лист1!$D15,0)</f>
        <v>0</v>
      </c>
      <c r="I14">
        <f>IF(Лист1!M15="воздержался",Лист1!$D15,0)</f>
        <v>0</v>
      </c>
      <c r="J14">
        <f>IF(Лист1!N15="воздержался",Лист1!$D15,0)</f>
        <v>0</v>
      </c>
      <c r="K14">
        <f>IF(Лист1!O15="воздержался",Лист1!$D15,0)</f>
        <v>0</v>
      </c>
      <c r="L14">
        <f>IF(Лист1!P15="воздержался",Лист1!$D15,0)</f>
        <v>0</v>
      </c>
    </row>
    <row r="15" spans="1:12" x14ac:dyDescent="0.25">
      <c r="A15">
        <f>IF(Лист1!E16="воздержался",Лист1!$D16,0)</f>
        <v>0</v>
      </c>
      <c r="B15">
        <f>IF(Лист1!F16="воздержался",Лист1!$D16,0)</f>
        <v>0</v>
      </c>
      <c r="C15">
        <f>IF(Лист1!G16="воздержался",Лист1!$D16,0)</f>
        <v>0</v>
      </c>
      <c r="D15">
        <f>IF(Лист1!H16="воздержался",Лист1!$D16,0)</f>
        <v>0</v>
      </c>
      <c r="E15">
        <f>IF(Лист1!I16="воздержался",Лист1!$D16,0)</f>
        <v>0</v>
      </c>
      <c r="F15">
        <f>IF(Лист1!J16="воздержался",Лист1!$D16,0)</f>
        <v>0</v>
      </c>
      <c r="G15">
        <f>IF(Лист1!K16="воздержался",Лист1!$D16,0)</f>
        <v>0</v>
      </c>
      <c r="H15">
        <f>IF(Лист1!L16="воздержался",Лист1!$D16,0)</f>
        <v>0</v>
      </c>
      <c r="I15">
        <f>IF(Лист1!M16="воздержался",Лист1!$D16,0)</f>
        <v>0</v>
      </c>
      <c r="J15">
        <f>IF(Лист1!N16="воздержался",Лист1!$D16,0)</f>
        <v>0</v>
      </c>
      <c r="K15">
        <f>IF(Лист1!O16="воздержался",Лист1!$D16,0)</f>
        <v>0</v>
      </c>
      <c r="L15">
        <f>IF(Лист1!P16="воздержался",Лист1!$D16,0)</f>
        <v>0</v>
      </c>
    </row>
    <row r="16" spans="1:12" x14ac:dyDescent="0.25">
      <c r="A16">
        <f>IF(Лист1!E17="воздержался",Лист1!$D17,0)</f>
        <v>0</v>
      </c>
      <c r="B16">
        <f>IF(Лист1!F17="воздержался",Лист1!$D17,0)</f>
        <v>0.43</v>
      </c>
      <c r="C16">
        <f>IF(Лист1!G17="воздержался",Лист1!$D17,0)</f>
        <v>0.43</v>
      </c>
      <c r="D16">
        <f>IF(Лист1!H17="воздержался",Лист1!$D17,0)</f>
        <v>0.43</v>
      </c>
      <c r="E16">
        <f>IF(Лист1!I17="воздержался",Лист1!$D17,0)</f>
        <v>0</v>
      </c>
      <c r="F16">
        <f>IF(Лист1!J17="воздержался",Лист1!$D17,0)</f>
        <v>0</v>
      </c>
      <c r="G16">
        <f>IF(Лист1!K17="воздержался",Лист1!$D17,0)</f>
        <v>0</v>
      </c>
      <c r="H16">
        <f>IF(Лист1!L17="воздержался",Лист1!$D17,0)</f>
        <v>0</v>
      </c>
      <c r="I16">
        <f>IF(Лист1!M17="воздержался",Лист1!$D17,0)</f>
        <v>0</v>
      </c>
      <c r="J16">
        <f>IF(Лист1!N17="воздержался",Лист1!$D17,0)</f>
        <v>0.43</v>
      </c>
      <c r="K16">
        <f>IF(Лист1!O17="воздержался",Лист1!$D17,0)</f>
        <v>0</v>
      </c>
      <c r="L16">
        <f>IF(Лист1!P17="воздержался",Лист1!$D17,0)</f>
        <v>0.43</v>
      </c>
    </row>
    <row r="17" spans="1:12" x14ac:dyDescent="0.25">
      <c r="A17">
        <f>IF(Лист1!E18="воздержался",Лист1!$D18,0)</f>
        <v>0</v>
      </c>
      <c r="B17">
        <f>IF(Лист1!F18="воздержался",Лист1!$D18,0)</f>
        <v>0.43</v>
      </c>
      <c r="C17">
        <f>IF(Лист1!G18="воздержался",Лист1!$D18,0)</f>
        <v>0.43</v>
      </c>
      <c r="D17">
        <f>IF(Лист1!H18="воздержался",Лист1!$D18,0)</f>
        <v>0.43</v>
      </c>
      <c r="E17">
        <f>IF(Лист1!I18="воздержался",Лист1!$D18,0)</f>
        <v>0</v>
      </c>
      <c r="F17">
        <f>IF(Лист1!J18="воздержался",Лист1!$D18,0)</f>
        <v>0</v>
      </c>
      <c r="G17">
        <f>IF(Лист1!K18="воздержался",Лист1!$D18,0)</f>
        <v>0</v>
      </c>
      <c r="H17">
        <f>IF(Лист1!L18="воздержался",Лист1!$D18,0)</f>
        <v>0</v>
      </c>
      <c r="I17">
        <f>IF(Лист1!M18="воздержался",Лист1!$D18,0)</f>
        <v>0</v>
      </c>
      <c r="J17">
        <f>IF(Лист1!N18="воздержался",Лист1!$D18,0)</f>
        <v>0.43</v>
      </c>
      <c r="K17">
        <f>IF(Лист1!O18="воздержался",Лист1!$D18,0)</f>
        <v>0</v>
      </c>
      <c r="L17">
        <f>IF(Лист1!P18="воздержался",Лист1!$D18,0)</f>
        <v>0.43</v>
      </c>
    </row>
    <row r="18" spans="1:12" x14ac:dyDescent="0.25">
      <c r="A18">
        <f>IF(Лист1!E19="воздержался",Лист1!$D19,0)</f>
        <v>0</v>
      </c>
      <c r="B18">
        <f>IF(Лист1!F19="воздержался",Лист1!$D19,0)</f>
        <v>0.43</v>
      </c>
      <c r="C18">
        <f>IF(Лист1!G19="воздержался",Лист1!$D19,0)</f>
        <v>0.43</v>
      </c>
      <c r="D18">
        <f>IF(Лист1!H19="воздержался",Лист1!$D19,0)</f>
        <v>0.43</v>
      </c>
      <c r="E18">
        <f>IF(Лист1!I19="воздержался",Лист1!$D19,0)</f>
        <v>0</v>
      </c>
      <c r="F18">
        <f>IF(Лист1!J19="воздержался",Лист1!$D19,0)</f>
        <v>0</v>
      </c>
      <c r="G18">
        <f>IF(Лист1!K19="воздержался",Лист1!$D19,0)</f>
        <v>0</v>
      </c>
      <c r="H18">
        <f>IF(Лист1!L19="воздержался",Лист1!$D19,0)</f>
        <v>0</v>
      </c>
      <c r="I18">
        <f>IF(Лист1!M19="воздержался",Лист1!$D19,0)</f>
        <v>0</v>
      </c>
      <c r="J18">
        <f>IF(Лист1!N19="воздержался",Лист1!$D19,0)</f>
        <v>0.43</v>
      </c>
      <c r="K18">
        <f>IF(Лист1!O19="воздержался",Лист1!$D19,0)</f>
        <v>0</v>
      </c>
      <c r="L18">
        <f>IF(Лист1!P19="воздержался",Лист1!$D19,0)</f>
        <v>0.43</v>
      </c>
    </row>
    <row r="19" spans="1:12" x14ac:dyDescent="0.25">
      <c r="A19">
        <f>IF(Лист1!E20="воздержался",Лист1!$D20,0)</f>
        <v>0</v>
      </c>
      <c r="B19">
        <f>IF(Лист1!F20="воздержался",Лист1!$D20,0)</f>
        <v>0.43</v>
      </c>
      <c r="C19">
        <f>IF(Лист1!G20="воздержался",Лист1!$D20,0)</f>
        <v>0.43</v>
      </c>
      <c r="D19">
        <f>IF(Лист1!H20="воздержался",Лист1!$D20,0)</f>
        <v>0.43</v>
      </c>
      <c r="E19">
        <f>IF(Лист1!I20="воздержался",Лист1!$D20,0)</f>
        <v>0</v>
      </c>
      <c r="F19">
        <f>IF(Лист1!J20="воздержался",Лист1!$D20,0)</f>
        <v>0</v>
      </c>
      <c r="G19">
        <f>IF(Лист1!K20="воздержался",Лист1!$D20,0)</f>
        <v>0</v>
      </c>
      <c r="H19">
        <f>IF(Лист1!L20="воздержался",Лист1!$D20,0)</f>
        <v>0</v>
      </c>
      <c r="I19">
        <f>IF(Лист1!M20="воздержался",Лист1!$D20,0)</f>
        <v>0</v>
      </c>
      <c r="J19">
        <f>IF(Лист1!N20="воздержался",Лист1!$D20,0)</f>
        <v>0.43</v>
      </c>
      <c r="K19">
        <f>IF(Лист1!O20="воздержался",Лист1!$D20,0)</f>
        <v>0</v>
      </c>
      <c r="L19">
        <f>IF(Лист1!P20="воздержался",Лист1!$D20,0)</f>
        <v>0.43</v>
      </c>
    </row>
    <row r="20" spans="1:12" x14ac:dyDescent="0.25">
      <c r="A20">
        <f>IF(Лист1!E21="воздержался",Лист1!$D21,0)</f>
        <v>0</v>
      </c>
      <c r="B20">
        <f>IF(Лист1!F21="воздержался",Лист1!$D21,0)</f>
        <v>0.43</v>
      </c>
      <c r="C20">
        <f>IF(Лист1!G21="воздержался",Лист1!$D21,0)</f>
        <v>0.43</v>
      </c>
      <c r="D20">
        <f>IF(Лист1!H21="воздержался",Лист1!$D21,0)</f>
        <v>0.43</v>
      </c>
      <c r="E20">
        <f>IF(Лист1!I21="воздержался",Лист1!$D21,0)</f>
        <v>0</v>
      </c>
      <c r="F20">
        <f>IF(Лист1!J21="воздержался",Лист1!$D21,0)</f>
        <v>0</v>
      </c>
      <c r="G20">
        <f>IF(Лист1!K21="воздержался",Лист1!$D21,0)</f>
        <v>0</v>
      </c>
      <c r="H20">
        <f>IF(Лист1!L21="воздержался",Лист1!$D21,0)</f>
        <v>0</v>
      </c>
      <c r="I20">
        <f>IF(Лист1!M21="воздержался",Лист1!$D21,0)</f>
        <v>0</v>
      </c>
      <c r="J20">
        <f>IF(Лист1!N21="воздержался",Лист1!$D21,0)</f>
        <v>0.43</v>
      </c>
      <c r="K20">
        <f>IF(Лист1!O21="воздержался",Лист1!$D21,0)</f>
        <v>0</v>
      </c>
      <c r="L20">
        <f>IF(Лист1!P21="воздержался",Лист1!$D21,0)</f>
        <v>0.43</v>
      </c>
    </row>
    <row r="21" spans="1:12" x14ac:dyDescent="0.25">
      <c r="A21">
        <f>IF(Лист1!E22="воздержался",Лист1!$D22,0)</f>
        <v>0</v>
      </c>
      <c r="B21">
        <f>IF(Лист1!F22="воздержался",Лист1!$D22,0)</f>
        <v>0</v>
      </c>
      <c r="C21">
        <f>IF(Лист1!G22="воздержался",Лист1!$D22,0)</f>
        <v>0</v>
      </c>
      <c r="D21">
        <f>IF(Лист1!H22="воздержался",Лист1!$D22,0)</f>
        <v>0</v>
      </c>
      <c r="E21">
        <f>IF(Лист1!I22="воздержался",Лист1!$D22,0)</f>
        <v>0</v>
      </c>
      <c r="F21">
        <f>IF(Лист1!J22="воздержался",Лист1!$D22,0)</f>
        <v>0</v>
      </c>
      <c r="G21">
        <f>IF(Лист1!K22="воздержался",Лист1!$D22,0)</f>
        <v>0</v>
      </c>
      <c r="H21">
        <f>IF(Лист1!L22="воздержался",Лист1!$D22,0)</f>
        <v>0</v>
      </c>
      <c r="I21">
        <f>IF(Лист1!M22="воздержался",Лист1!$D22,0)</f>
        <v>0</v>
      </c>
      <c r="J21">
        <f>IF(Лист1!N22="воздержался",Лист1!$D22,0)</f>
        <v>0</v>
      </c>
      <c r="K21">
        <f>IF(Лист1!O22="воздержался",Лист1!$D22,0)</f>
        <v>0</v>
      </c>
      <c r="L21">
        <f>IF(Лист1!P22="воздержался",Лист1!$D22,0)</f>
        <v>0</v>
      </c>
    </row>
    <row r="22" spans="1:12" x14ac:dyDescent="0.25">
      <c r="A22">
        <f>IF(Лист1!E23="воздержался",Лист1!$D23,0)</f>
        <v>0</v>
      </c>
      <c r="B22">
        <f>IF(Лист1!F23="воздержался",Лист1!$D23,0)</f>
        <v>0</v>
      </c>
      <c r="C22">
        <f>IF(Лист1!G23="воздержался",Лист1!$D23,0)</f>
        <v>0</v>
      </c>
      <c r="D22">
        <f>IF(Лист1!H23="воздержался",Лист1!$D23,0)</f>
        <v>0</v>
      </c>
      <c r="E22">
        <f>IF(Лист1!I23="воздержался",Лист1!$D23,0)</f>
        <v>0</v>
      </c>
      <c r="F22">
        <f>IF(Лист1!J23="воздержался",Лист1!$D23,0)</f>
        <v>0</v>
      </c>
      <c r="G22">
        <f>IF(Лист1!K23="воздержался",Лист1!$D23,0)</f>
        <v>0</v>
      </c>
      <c r="H22">
        <f>IF(Лист1!L23="воздержался",Лист1!$D23,0)</f>
        <v>0</v>
      </c>
      <c r="I22">
        <f>IF(Лист1!M23="воздержался",Лист1!$D23,0)</f>
        <v>0</v>
      </c>
      <c r="J22">
        <f>IF(Лист1!N23="воздержался",Лист1!$D23,0)</f>
        <v>0</v>
      </c>
      <c r="K22">
        <f>IF(Лист1!O23="воздержался",Лист1!$D23,0)</f>
        <v>0</v>
      </c>
      <c r="L22">
        <f>IF(Лист1!P23="воздержался",Лист1!$D23,0)</f>
        <v>0</v>
      </c>
    </row>
    <row r="23" spans="1:12" x14ac:dyDescent="0.25">
      <c r="A23">
        <f>IF(Лист1!E24="воздержался",Лист1!$D24,0)</f>
        <v>0</v>
      </c>
      <c r="B23">
        <f>IF(Лист1!F24="воздержался",Лист1!$D24,0)</f>
        <v>0</v>
      </c>
      <c r="C23">
        <f>IF(Лист1!G24="воздержался",Лист1!$D24,0)</f>
        <v>0</v>
      </c>
      <c r="D23">
        <f>IF(Лист1!H24="воздержался",Лист1!$D24,0)</f>
        <v>0</v>
      </c>
      <c r="E23">
        <f>IF(Лист1!I24="воздержался",Лист1!$D24,0)</f>
        <v>0</v>
      </c>
      <c r="F23">
        <f>IF(Лист1!J24="воздержался",Лист1!$D24,0)</f>
        <v>0</v>
      </c>
      <c r="G23">
        <f>IF(Лист1!K24="воздержался",Лист1!$D24,0)</f>
        <v>0</v>
      </c>
      <c r="H23">
        <f>IF(Лист1!L24="воздержался",Лист1!$D24,0)</f>
        <v>0</v>
      </c>
      <c r="I23">
        <f>IF(Лист1!M24="воздержался",Лист1!$D24,0)</f>
        <v>0</v>
      </c>
      <c r="J23">
        <f>IF(Лист1!N24="воздержался",Лист1!$D24,0)</f>
        <v>0</v>
      </c>
      <c r="K23">
        <f>IF(Лист1!O24="воздержался",Лист1!$D24,0)</f>
        <v>0</v>
      </c>
      <c r="L23">
        <f>IF(Лист1!P24="воздержался",Лист1!$D24,0)</f>
        <v>0</v>
      </c>
    </row>
    <row r="24" spans="1:12" x14ac:dyDescent="0.25">
      <c r="A24">
        <f>IF(Лист1!E25="воздержался",Лист1!$D25,0)</f>
        <v>0</v>
      </c>
      <c r="B24">
        <f>IF(Лист1!F25="воздержался",Лист1!$D25,0)</f>
        <v>0</v>
      </c>
      <c r="C24">
        <f>IF(Лист1!G25="воздержался",Лист1!$D25,0)</f>
        <v>0</v>
      </c>
      <c r="D24">
        <f>IF(Лист1!H25="воздержался",Лист1!$D25,0)</f>
        <v>0</v>
      </c>
      <c r="E24">
        <f>IF(Лист1!I25="воздержался",Лист1!$D25,0)</f>
        <v>0</v>
      </c>
      <c r="F24">
        <f>IF(Лист1!J25="воздержался",Лист1!$D25,0)</f>
        <v>0</v>
      </c>
      <c r="G24">
        <f>IF(Лист1!K25="воздержался",Лист1!$D25,0)</f>
        <v>0</v>
      </c>
      <c r="H24">
        <f>IF(Лист1!L25="воздержался",Лист1!$D25,0)</f>
        <v>0</v>
      </c>
      <c r="I24">
        <f>IF(Лист1!M25="воздержался",Лист1!$D25,0)</f>
        <v>0</v>
      </c>
      <c r="J24">
        <f>IF(Лист1!N25="воздержался",Лист1!$D25,0)</f>
        <v>0</v>
      </c>
      <c r="K24">
        <f>IF(Лист1!O25="воздержался",Лист1!$D25,0)</f>
        <v>0</v>
      </c>
      <c r="L24">
        <f>IF(Лист1!P25="воздержался",Лист1!$D25,0)</f>
        <v>0</v>
      </c>
    </row>
    <row r="25" spans="1:12" x14ac:dyDescent="0.25">
      <c r="A25">
        <f>IF(Лист1!E26="воздержался",Лист1!$D26,0)</f>
        <v>0</v>
      </c>
      <c r="B25">
        <f>IF(Лист1!F26="воздержался",Лист1!$D26,0)</f>
        <v>0</v>
      </c>
      <c r="C25">
        <f>IF(Лист1!G26="воздержался",Лист1!$D26,0)</f>
        <v>0</v>
      </c>
      <c r="D25">
        <f>IF(Лист1!H26="воздержался",Лист1!$D26,0)</f>
        <v>0</v>
      </c>
      <c r="E25">
        <f>IF(Лист1!I26="воздержался",Лист1!$D26,0)</f>
        <v>0</v>
      </c>
      <c r="F25">
        <f>IF(Лист1!J26="воздержался",Лист1!$D26,0)</f>
        <v>0</v>
      </c>
      <c r="G25">
        <f>IF(Лист1!K26="воздержался",Лист1!$D26,0)</f>
        <v>0</v>
      </c>
      <c r="H25">
        <f>IF(Лист1!L26="воздержался",Лист1!$D26,0)</f>
        <v>0</v>
      </c>
      <c r="I25">
        <f>IF(Лист1!M26="воздержался",Лист1!$D26,0)</f>
        <v>0</v>
      </c>
      <c r="J25">
        <f>IF(Лист1!N26="воздержался",Лист1!$D26,0)</f>
        <v>0</v>
      </c>
      <c r="K25">
        <f>IF(Лист1!O26="воздержался",Лист1!$D26,0)</f>
        <v>0</v>
      </c>
      <c r="L25">
        <f>IF(Лист1!P26="воздержался",Лист1!$D26,0)</f>
        <v>0</v>
      </c>
    </row>
    <row r="26" spans="1:12" x14ac:dyDescent="0.25">
      <c r="A26">
        <f>IF(Лист1!E27="воздержался",Лист1!$D27,0)</f>
        <v>0</v>
      </c>
      <c r="B26">
        <f>IF(Лист1!F27="воздержался",Лист1!$D27,0)</f>
        <v>0</v>
      </c>
      <c r="C26">
        <f>IF(Лист1!G27="воздержался",Лист1!$D27,0)</f>
        <v>0</v>
      </c>
      <c r="D26">
        <f>IF(Лист1!H27="воздержался",Лист1!$D27,0)</f>
        <v>0</v>
      </c>
      <c r="E26">
        <f>IF(Лист1!I27="воздержался",Лист1!$D27,0)</f>
        <v>0</v>
      </c>
      <c r="F26">
        <f>IF(Лист1!J27="воздержался",Лист1!$D27,0)</f>
        <v>0</v>
      </c>
      <c r="G26">
        <f>IF(Лист1!K27="воздержался",Лист1!$D27,0)</f>
        <v>0</v>
      </c>
      <c r="H26">
        <f>IF(Лист1!L27="воздержался",Лист1!$D27,0)</f>
        <v>0</v>
      </c>
      <c r="I26">
        <f>IF(Лист1!M27="воздержался",Лист1!$D27,0)</f>
        <v>0</v>
      </c>
      <c r="J26">
        <f>IF(Лист1!N27="воздержался",Лист1!$D27,0)</f>
        <v>0</v>
      </c>
      <c r="K26">
        <f>IF(Лист1!O27="воздержался",Лист1!$D27,0)</f>
        <v>0</v>
      </c>
      <c r="L26">
        <f>IF(Лист1!P27="воздержался",Лист1!$D27,0)</f>
        <v>0</v>
      </c>
    </row>
    <row r="27" spans="1:12" x14ac:dyDescent="0.25">
      <c r="A27">
        <f>IF(Лист1!E28="воздержался",Лист1!$D28,0)</f>
        <v>0</v>
      </c>
      <c r="B27">
        <f>IF(Лист1!F28="воздержался",Лист1!$D28,0)</f>
        <v>0</v>
      </c>
      <c r="C27">
        <f>IF(Лист1!G28="воздержался",Лист1!$D28,0)</f>
        <v>0</v>
      </c>
      <c r="D27">
        <f>IF(Лист1!H28="воздержался",Лист1!$D28,0)</f>
        <v>0</v>
      </c>
      <c r="E27">
        <f>IF(Лист1!I28="воздержался",Лист1!$D28,0)</f>
        <v>0</v>
      </c>
      <c r="F27">
        <f>IF(Лист1!J28="воздержался",Лист1!$D28,0)</f>
        <v>0</v>
      </c>
      <c r="G27">
        <f>IF(Лист1!K28="воздержался",Лист1!$D28,0)</f>
        <v>0</v>
      </c>
      <c r="H27">
        <f>IF(Лист1!L28="воздержался",Лист1!$D28,0)</f>
        <v>0</v>
      </c>
      <c r="I27">
        <f>IF(Лист1!M28="воздержался",Лист1!$D28,0)</f>
        <v>0</v>
      </c>
      <c r="J27">
        <f>IF(Лист1!N28="воздержался",Лист1!$D28,0)</f>
        <v>0</v>
      </c>
      <c r="K27">
        <f>IF(Лист1!O28="воздержался",Лист1!$D28,0)</f>
        <v>0</v>
      </c>
      <c r="L27">
        <f>IF(Лист1!P28="воздержался",Лист1!$D28,0)</f>
        <v>0</v>
      </c>
    </row>
    <row r="28" spans="1:12" x14ac:dyDescent="0.25">
      <c r="A28">
        <f>IF(Лист1!E29="воздержался",Лист1!$D29,0)</f>
        <v>0</v>
      </c>
      <c r="B28">
        <f>IF(Лист1!F29="воздержался",Лист1!$D29,0)</f>
        <v>0</v>
      </c>
      <c r="C28">
        <f>IF(Лист1!G29="воздержался",Лист1!$D29,0)</f>
        <v>0</v>
      </c>
      <c r="D28">
        <f>IF(Лист1!H29="воздержался",Лист1!$D29,0)</f>
        <v>0</v>
      </c>
      <c r="E28">
        <f>IF(Лист1!I29="воздержался",Лист1!$D29,0)</f>
        <v>0</v>
      </c>
      <c r="F28">
        <f>IF(Лист1!J29="воздержался",Лист1!$D29,0)</f>
        <v>0</v>
      </c>
      <c r="G28">
        <f>IF(Лист1!K29="воздержался",Лист1!$D29,0)</f>
        <v>0</v>
      </c>
      <c r="H28">
        <f>IF(Лист1!L29="воздержался",Лист1!$D29,0)</f>
        <v>0</v>
      </c>
      <c r="I28">
        <f>IF(Лист1!M29="воздержался",Лист1!$D29,0)</f>
        <v>0</v>
      </c>
      <c r="J28">
        <f>IF(Лист1!N29="воздержался",Лист1!$D29,0)</f>
        <v>0</v>
      </c>
      <c r="K28">
        <f>IF(Лист1!O29="воздержался",Лист1!$D29,0)</f>
        <v>0</v>
      </c>
      <c r="L28">
        <f>IF(Лист1!P29="воздержался",Лист1!$D29,0)</f>
        <v>0</v>
      </c>
    </row>
    <row r="29" spans="1:12" x14ac:dyDescent="0.25">
      <c r="A29">
        <f>IF(Лист1!E30="воздержался",Лист1!$D30,0)</f>
        <v>0</v>
      </c>
      <c r="B29">
        <f>IF(Лист1!F30="воздержался",Лист1!$D30,0)</f>
        <v>0</v>
      </c>
      <c r="C29">
        <f>IF(Лист1!G30="воздержался",Лист1!$D30,0)</f>
        <v>0</v>
      </c>
      <c r="D29">
        <f>IF(Лист1!H30="воздержался",Лист1!$D30,0)</f>
        <v>0</v>
      </c>
      <c r="E29">
        <f>IF(Лист1!I30="воздержался",Лист1!$D30,0)</f>
        <v>0</v>
      </c>
      <c r="F29">
        <f>IF(Лист1!J30="воздержался",Лист1!$D30,0)</f>
        <v>0</v>
      </c>
      <c r="G29">
        <f>IF(Лист1!K30="воздержался",Лист1!$D30,0)</f>
        <v>0</v>
      </c>
      <c r="H29">
        <f>IF(Лист1!L30="воздержался",Лист1!$D30,0)</f>
        <v>0</v>
      </c>
      <c r="I29">
        <f>IF(Лист1!M30="воздержался",Лист1!$D30,0)</f>
        <v>0</v>
      </c>
      <c r="J29">
        <f>IF(Лист1!N30="воздержался",Лист1!$D30,0)</f>
        <v>0</v>
      </c>
      <c r="K29">
        <f>IF(Лист1!O30="воздержался",Лист1!$D30,0)</f>
        <v>0</v>
      </c>
      <c r="L29">
        <f>IF(Лист1!P30="воздержался",Лист1!$D30,0)</f>
        <v>0</v>
      </c>
    </row>
    <row r="30" spans="1:12" x14ac:dyDescent="0.25">
      <c r="A30">
        <f>IF(Лист1!E31="воздержался",Лист1!$D31,0)</f>
        <v>0</v>
      </c>
      <c r="B30">
        <f>IF(Лист1!F31="воздержался",Лист1!$D31,0)</f>
        <v>0</v>
      </c>
      <c r="C30">
        <f>IF(Лист1!G31="воздержался",Лист1!$D31,0)</f>
        <v>0</v>
      </c>
      <c r="D30">
        <f>IF(Лист1!H31="воздержался",Лист1!$D31,0)</f>
        <v>0</v>
      </c>
      <c r="E30">
        <f>IF(Лист1!I31="воздержался",Лист1!$D31,0)</f>
        <v>0</v>
      </c>
      <c r="F30">
        <f>IF(Лист1!J31="воздержался",Лист1!$D31,0)</f>
        <v>0</v>
      </c>
      <c r="G30">
        <f>IF(Лист1!K31="воздержался",Лист1!$D31,0)</f>
        <v>0</v>
      </c>
      <c r="H30">
        <f>IF(Лист1!L31="воздержался",Лист1!$D31,0)</f>
        <v>0</v>
      </c>
      <c r="I30">
        <f>IF(Лист1!M31="воздержался",Лист1!$D31,0)</f>
        <v>0</v>
      </c>
      <c r="J30">
        <f>IF(Лист1!N31="воздержался",Лист1!$D31,0)</f>
        <v>0</v>
      </c>
      <c r="K30">
        <f>IF(Лист1!O31="воздержался",Лист1!$D31,0)</f>
        <v>0</v>
      </c>
      <c r="L30">
        <f>IF(Лист1!P31="воздержался",Лист1!$D31,0)</f>
        <v>0</v>
      </c>
    </row>
    <row r="31" spans="1:12" x14ac:dyDescent="0.25">
      <c r="A31">
        <f>IF(Лист1!E32="воздержался",Лист1!$D32,0)</f>
        <v>0</v>
      </c>
      <c r="B31">
        <f>IF(Лист1!F32="воздержался",Лист1!$D32,0)</f>
        <v>0</v>
      </c>
      <c r="C31">
        <f>IF(Лист1!G32="воздержался",Лист1!$D32,0)</f>
        <v>0</v>
      </c>
      <c r="D31">
        <f>IF(Лист1!H32="воздержался",Лист1!$D32,0)</f>
        <v>0</v>
      </c>
      <c r="E31">
        <f>IF(Лист1!I32="воздержался",Лист1!$D32,0)</f>
        <v>0</v>
      </c>
      <c r="F31">
        <f>IF(Лист1!J32="воздержался",Лист1!$D32,0)</f>
        <v>0</v>
      </c>
      <c r="G31">
        <f>IF(Лист1!K32="воздержался",Лист1!$D32,0)</f>
        <v>0</v>
      </c>
      <c r="H31">
        <f>IF(Лист1!L32="воздержался",Лист1!$D32,0)</f>
        <v>0</v>
      </c>
      <c r="I31">
        <f>IF(Лист1!M32="воздержался",Лист1!$D32,0)</f>
        <v>0</v>
      </c>
      <c r="J31">
        <f>IF(Лист1!N32="воздержался",Лист1!$D32,0)</f>
        <v>0</v>
      </c>
      <c r="K31">
        <f>IF(Лист1!O32="воздержался",Лист1!$D32,0)</f>
        <v>0</v>
      </c>
      <c r="L31">
        <f>IF(Лист1!P32="воздержался",Лист1!$D32,0)</f>
        <v>0</v>
      </c>
    </row>
    <row r="32" spans="1:12" x14ac:dyDescent="0.25">
      <c r="A32">
        <f>IF(Лист1!E33="воздержался",Лист1!$D33,0)</f>
        <v>0</v>
      </c>
      <c r="B32">
        <f>IF(Лист1!F33="воздержался",Лист1!$D33,0)</f>
        <v>0</v>
      </c>
      <c r="C32">
        <f>IF(Лист1!G33="воздержался",Лист1!$D33,0)</f>
        <v>0</v>
      </c>
      <c r="D32">
        <f>IF(Лист1!H33="воздержался",Лист1!$D33,0)</f>
        <v>0</v>
      </c>
      <c r="E32">
        <f>IF(Лист1!I33="воздержался",Лист1!$D33,0)</f>
        <v>0</v>
      </c>
      <c r="F32">
        <f>IF(Лист1!J33="воздержался",Лист1!$D33,0)</f>
        <v>0</v>
      </c>
      <c r="G32">
        <f>IF(Лист1!K33="воздержался",Лист1!$D33,0)</f>
        <v>0</v>
      </c>
      <c r="H32">
        <f>IF(Лист1!L33="воздержался",Лист1!$D33,0)</f>
        <v>0</v>
      </c>
      <c r="I32">
        <f>IF(Лист1!M33="воздержался",Лист1!$D33,0)</f>
        <v>0</v>
      </c>
      <c r="J32">
        <f>IF(Лист1!N33="воздержался",Лист1!$D33,0)</f>
        <v>0</v>
      </c>
      <c r="K32">
        <f>IF(Лист1!O33="воздержался",Лист1!$D33,0)</f>
        <v>0</v>
      </c>
      <c r="L32">
        <f>IF(Лист1!P33="воздержался",Лист1!$D33,0)</f>
        <v>0</v>
      </c>
    </row>
    <row r="33" spans="1:12" x14ac:dyDescent="0.25">
      <c r="A33">
        <f>IF(Лист1!E34="воздержался",Лист1!$D34,0)</f>
        <v>0</v>
      </c>
      <c r="B33">
        <f>IF(Лист1!F34="воздержался",Лист1!$D34,0)</f>
        <v>0</v>
      </c>
      <c r="C33">
        <f>IF(Лист1!G34="воздержался",Лист1!$D34,0)</f>
        <v>0</v>
      </c>
      <c r="D33">
        <f>IF(Лист1!H34="воздержался",Лист1!$D34,0)</f>
        <v>0</v>
      </c>
      <c r="E33">
        <f>IF(Лист1!I34="воздержался",Лист1!$D34,0)</f>
        <v>0</v>
      </c>
      <c r="F33">
        <f>IF(Лист1!J34="воздержался",Лист1!$D34,0)</f>
        <v>0</v>
      </c>
      <c r="G33">
        <f>IF(Лист1!K34="воздержался",Лист1!$D34,0)</f>
        <v>0</v>
      </c>
      <c r="H33">
        <f>IF(Лист1!L34="воздержался",Лист1!$D34,0)</f>
        <v>0</v>
      </c>
      <c r="I33">
        <f>IF(Лист1!M34="воздержался",Лист1!$D34,0)</f>
        <v>0</v>
      </c>
      <c r="J33">
        <f>IF(Лист1!N34="воздержался",Лист1!$D34,0)</f>
        <v>0</v>
      </c>
      <c r="K33">
        <f>IF(Лист1!O34="воздержался",Лист1!$D34,0)</f>
        <v>0</v>
      </c>
      <c r="L33">
        <f>IF(Лист1!P34="воздержался",Лист1!$D34,0)</f>
        <v>0</v>
      </c>
    </row>
    <row r="34" spans="1:12" x14ac:dyDescent="0.25">
      <c r="A34">
        <f>IF(Лист1!E35="воздержался",Лист1!$D35,0)</f>
        <v>0</v>
      </c>
      <c r="B34">
        <f>IF(Лист1!F35="воздержался",Лист1!$D35,0)</f>
        <v>0</v>
      </c>
      <c r="C34">
        <f>IF(Лист1!G35="воздержался",Лист1!$D35,0)</f>
        <v>0</v>
      </c>
      <c r="D34">
        <f>IF(Лист1!H35="воздержался",Лист1!$D35,0)</f>
        <v>0</v>
      </c>
      <c r="E34">
        <f>IF(Лист1!I35="воздержался",Лист1!$D35,0)</f>
        <v>0</v>
      </c>
      <c r="F34">
        <f>IF(Лист1!J35="воздержался",Лист1!$D35,0)</f>
        <v>0</v>
      </c>
      <c r="G34">
        <f>IF(Лист1!K35="воздержался",Лист1!$D35,0)</f>
        <v>0</v>
      </c>
      <c r="H34">
        <f>IF(Лист1!L35="воздержался",Лист1!$D35,0)</f>
        <v>0</v>
      </c>
      <c r="I34">
        <f>IF(Лист1!M35="воздержался",Лист1!$D35,0)</f>
        <v>0</v>
      </c>
      <c r="J34">
        <f>IF(Лист1!N35="воздержался",Лист1!$D35,0)</f>
        <v>0</v>
      </c>
      <c r="K34">
        <f>IF(Лист1!O35="воздержался",Лист1!$D35,0)</f>
        <v>0</v>
      </c>
      <c r="L34">
        <f>IF(Лист1!P35="воздержался",Лист1!$D35,0)</f>
        <v>0</v>
      </c>
    </row>
    <row r="35" spans="1:12" x14ac:dyDescent="0.25">
      <c r="A35">
        <f>IF(Лист1!E36="воздержался",Лист1!$D36,0)</f>
        <v>0</v>
      </c>
      <c r="B35">
        <f>IF(Лист1!F36="воздержался",Лист1!$D36,0)</f>
        <v>0</v>
      </c>
      <c r="C35">
        <f>IF(Лист1!G36="воздержался",Лист1!$D36,0)</f>
        <v>0</v>
      </c>
      <c r="D35">
        <f>IF(Лист1!H36="воздержался",Лист1!$D36,0)</f>
        <v>0</v>
      </c>
      <c r="E35">
        <f>IF(Лист1!I36="воздержался",Лист1!$D36,0)</f>
        <v>0</v>
      </c>
      <c r="F35">
        <f>IF(Лист1!J36="воздержался",Лист1!$D36,0)</f>
        <v>0</v>
      </c>
      <c r="G35">
        <f>IF(Лист1!K36="воздержался",Лист1!$D36,0)</f>
        <v>0</v>
      </c>
      <c r="H35">
        <f>IF(Лист1!L36="воздержался",Лист1!$D36,0)</f>
        <v>0</v>
      </c>
      <c r="I35">
        <f>IF(Лист1!M36="воздержался",Лист1!$D36,0)</f>
        <v>0</v>
      </c>
      <c r="J35">
        <f>IF(Лист1!N36="воздержался",Лист1!$D36,0)</f>
        <v>0</v>
      </c>
      <c r="K35">
        <f>IF(Лист1!O36="воздержался",Лист1!$D36,0)</f>
        <v>0</v>
      </c>
      <c r="L35">
        <f>IF(Лист1!P36="воздержался",Лист1!$D36,0)</f>
        <v>0</v>
      </c>
    </row>
    <row r="36" spans="1:12" x14ac:dyDescent="0.25">
      <c r="A36">
        <f>IF(Лист1!E37="воздержался",Лист1!$D37,0)</f>
        <v>0</v>
      </c>
      <c r="B36">
        <f>IF(Лист1!F37="воздержался",Лист1!$D37,0)</f>
        <v>0</v>
      </c>
      <c r="C36">
        <f>IF(Лист1!G37="воздержался",Лист1!$D37,0)</f>
        <v>0</v>
      </c>
      <c r="D36">
        <f>IF(Лист1!H37="воздержался",Лист1!$D37,0)</f>
        <v>0</v>
      </c>
      <c r="E36">
        <f>IF(Лист1!I37="воздержался",Лист1!$D37,0)</f>
        <v>0</v>
      </c>
      <c r="F36">
        <f>IF(Лист1!J37="воздержался",Лист1!$D37,0)</f>
        <v>0</v>
      </c>
      <c r="G36">
        <f>IF(Лист1!K37="воздержался",Лист1!$D37,0)</f>
        <v>0</v>
      </c>
      <c r="H36">
        <f>IF(Лист1!L37="воздержался",Лист1!$D37,0)</f>
        <v>0</v>
      </c>
      <c r="I36">
        <f>IF(Лист1!M37="воздержался",Лист1!$D37,0)</f>
        <v>0</v>
      </c>
      <c r="J36">
        <f>IF(Лист1!N37="воздержался",Лист1!$D37,0)</f>
        <v>0</v>
      </c>
      <c r="K36">
        <f>IF(Лист1!O37="воздержался",Лист1!$D37,0)</f>
        <v>0</v>
      </c>
      <c r="L36">
        <f>IF(Лист1!P37="воздержался",Лист1!$D37,0)</f>
        <v>0</v>
      </c>
    </row>
    <row r="37" spans="1:12" x14ac:dyDescent="0.25">
      <c r="A37">
        <f>IF(Лист1!E38="воздержался",Лист1!$D38,0)</f>
        <v>0</v>
      </c>
      <c r="B37">
        <f>IF(Лист1!F38="воздержался",Лист1!$D38,0)</f>
        <v>0</v>
      </c>
      <c r="C37">
        <f>IF(Лист1!G38="воздержался",Лист1!$D38,0)</f>
        <v>0</v>
      </c>
      <c r="D37">
        <f>IF(Лист1!H38="воздержался",Лист1!$D38,0)</f>
        <v>0</v>
      </c>
      <c r="E37">
        <f>IF(Лист1!I38="воздержался",Лист1!$D38,0)</f>
        <v>0</v>
      </c>
      <c r="F37">
        <f>IF(Лист1!J38="воздержался",Лист1!$D38,0)</f>
        <v>0</v>
      </c>
      <c r="G37">
        <f>IF(Лист1!K38="воздержался",Лист1!$D38,0)</f>
        <v>0</v>
      </c>
      <c r="H37">
        <f>IF(Лист1!L38="воздержался",Лист1!$D38,0)</f>
        <v>0</v>
      </c>
      <c r="I37">
        <f>IF(Лист1!M38="воздержался",Лист1!$D38,0)</f>
        <v>0</v>
      </c>
      <c r="J37">
        <f>IF(Лист1!N38="воздержался",Лист1!$D38,0)</f>
        <v>0</v>
      </c>
      <c r="K37">
        <f>IF(Лист1!O38="воздержался",Лист1!$D38,0)</f>
        <v>0</v>
      </c>
      <c r="L37">
        <f>IF(Лист1!P38="воздержался",Лист1!$D38,0)</f>
        <v>0</v>
      </c>
    </row>
    <row r="38" spans="1:12" x14ac:dyDescent="0.25">
      <c r="A38">
        <f>IF(Лист1!E39="воздержался",Лист1!$D39,0)</f>
        <v>0</v>
      </c>
      <c r="B38">
        <f>IF(Лист1!F39="воздержался",Лист1!$D39,0)</f>
        <v>0</v>
      </c>
      <c r="C38">
        <f>IF(Лист1!G39="воздержался",Лист1!$D39,0)</f>
        <v>0</v>
      </c>
      <c r="D38">
        <f>IF(Лист1!H39="воздержался",Лист1!$D39,0)</f>
        <v>0</v>
      </c>
      <c r="E38">
        <f>IF(Лист1!I39="воздержался",Лист1!$D39,0)</f>
        <v>0</v>
      </c>
      <c r="F38">
        <f>IF(Лист1!J39="воздержался",Лист1!$D39,0)</f>
        <v>0</v>
      </c>
      <c r="G38">
        <f>IF(Лист1!K39="воздержался",Лист1!$D39,0)</f>
        <v>0</v>
      </c>
      <c r="H38">
        <f>IF(Лист1!L39="воздержался",Лист1!$D39,0)</f>
        <v>0</v>
      </c>
      <c r="I38">
        <f>IF(Лист1!M39="воздержался",Лист1!$D39,0)</f>
        <v>0</v>
      </c>
      <c r="J38">
        <f>IF(Лист1!N39="воздержался",Лист1!$D39,0)</f>
        <v>0</v>
      </c>
      <c r="K38">
        <f>IF(Лист1!O39="воздержался",Лист1!$D39,0)</f>
        <v>0</v>
      </c>
      <c r="L38">
        <f>IF(Лист1!P39="воздержался",Лист1!$D39,0)</f>
        <v>0</v>
      </c>
    </row>
    <row r="39" spans="1:12" x14ac:dyDescent="0.25">
      <c r="A39">
        <f>IF(Лист1!E40="воздержался",Лист1!$D40,0)</f>
        <v>0</v>
      </c>
      <c r="B39">
        <f>IF(Лист1!F40="воздержался",Лист1!$D40,0)</f>
        <v>0</v>
      </c>
      <c r="C39">
        <f>IF(Лист1!G40="воздержался",Лист1!$D40,0)</f>
        <v>0</v>
      </c>
      <c r="D39">
        <f>IF(Лист1!H40="воздержался",Лист1!$D40,0)</f>
        <v>0</v>
      </c>
      <c r="E39">
        <f>IF(Лист1!I40="воздержался",Лист1!$D40,0)</f>
        <v>0</v>
      </c>
      <c r="F39">
        <f>IF(Лист1!J40="воздержался",Лист1!$D40,0)</f>
        <v>0</v>
      </c>
      <c r="G39">
        <f>IF(Лист1!K40="воздержался",Лист1!$D40,0)</f>
        <v>0</v>
      </c>
      <c r="H39">
        <f>IF(Лист1!L40="воздержался",Лист1!$D40,0)</f>
        <v>0</v>
      </c>
      <c r="I39">
        <f>IF(Лист1!M40="воздержался",Лист1!$D40,0)</f>
        <v>0</v>
      </c>
      <c r="J39">
        <f>IF(Лист1!N40="воздержался",Лист1!$D40,0)</f>
        <v>0</v>
      </c>
      <c r="K39">
        <f>IF(Лист1!O40="воздержался",Лист1!$D40,0)</f>
        <v>0</v>
      </c>
      <c r="L39">
        <f>IF(Лист1!P40="воздержался",Лист1!$D40,0)</f>
        <v>0</v>
      </c>
    </row>
    <row r="40" spans="1:12" x14ac:dyDescent="0.25">
      <c r="A40">
        <f>IF(Лист1!E41="воздержался",Лист1!$D41,0)</f>
        <v>0</v>
      </c>
      <c r="B40">
        <f>IF(Лист1!F41="воздержался",Лист1!$D41,0)</f>
        <v>0</v>
      </c>
      <c r="C40">
        <f>IF(Лист1!G41="воздержался",Лист1!$D41,0)</f>
        <v>0</v>
      </c>
      <c r="D40">
        <f>IF(Лист1!H41="воздержался",Лист1!$D41,0)</f>
        <v>0</v>
      </c>
      <c r="E40">
        <f>IF(Лист1!I41="воздержался",Лист1!$D41,0)</f>
        <v>0</v>
      </c>
      <c r="F40">
        <f>IF(Лист1!J41="воздержался",Лист1!$D41,0)</f>
        <v>0</v>
      </c>
      <c r="G40">
        <f>IF(Лист1!K41="воздержался",Лист1!$D41,0)</f>
        <v>0</v>
      </c>
      <c r="H40">
        <f>IF(Лист1!L41="воздержался",Лист1!$D41,0)</f>
        <v>0</v>
      </c>
      <c r="I40">
        <f>IF(Лист1!M41="воздержался",Лист1!$D41,0)</f>
        <v>0</v>
      </c>
      <c r="J40">
        <f>IF(Лист1!N41="воздержался",Лист1!$D41,0)</f>
        <v>0</v>
      </c>
      <c r="K40">
        <f>IF(Лист1!O41="воздержался",Лист1!$D41,0)</f>
        <v>0</v>
      </c>
      <c r="L40">
        <f>IF(Лист1!P41="воздержался",Лист1!$D41,0)</f>
        <v>0</v>
      </c>
    </row>
    <row r="41" spans="1:12" x14ac:dyDescent="0.25">
      <c r="A41">
        <f>IF(Лист1!E42="воздержался",Лист1!$D42,0)</f>
        <v>0</v>
      </c>
      <c r="B41">
        <f>IF(Лист1!F42="воздержался",Лист1!$D42,0)</f>
        <v>0</v>
      </c>
      <c r="C41">
        <f>IF(Лист1!G42="воздержался",Лист1!$D42,0)</f>
        <v>0</v>
      </c>
      <c r="D41">
        <f>IF(Лист1!H42="воздержался",Лист1!$D42,0)</f>
        <v>0</v>
      </c>
      <c r="E41">
        <f>IF(Лист1!I42="воздержался",Лист1!$D42,0)</f>
        <v>0</v>
      </c>
      <c r="F41">
        <f>IF(Лист1!J42="воздержался",Лист1!$D42,0)</f>
        <v>0</v>
      </c>
      <c r="G41">
        <f>IF(Лист1!K42="воздержался",Лист1!$D42,0)</f>
        <v>0</v>
      </c>
      <c r="H41">
        <f>IF(Лист1!L42="воздержался",Лист1!$D42,0)</f>
        <v>0</v>
      </c>
      <c r="I41">
        <f>IF(Лист1!M42="воздержался",Лист1!$D42,0)</f>
        <v>0</v>
      </c>
      <c r="J41">
        <f>IF(Лист1!N42="воздержался",Лист1!$D42,0)</f>
        <v>0</v>
      </c>
      <c r="K41">
        <f>IF(Лист1!O42="воздержался",Лист1!$D42,0)</f>
        <v>0</v>
      </c>
      <c r="L41">
        <f>IF(Лист1!P42="воздержался",Лист1!$D42,0)</f>
        <v>0</v>
      </c>
    </row>
    <row r="42" spans="1:12" x14ac:dyDescent="0.25">
      <c r="A42">
        <f>IF(Лист1!E43="воздержался",Лист1!$D43,0)</f>
        <v>0</v>
      </c>
      <c r="B42">
        <f>IF(Лист1!F43="воздержался",Лист1!$D43,0)</f>
        <v>0</v>
      </c>
      <c r="C42">
        <f>IF(Лист1!G43="воздержался",Лист1!$D43,0)</f>
        <v>0</v>
      </c>
      <c r="D42">
        <f>IF(Лист1!H43="воздержался",Лист1!$D43,0)</f>
        <v>0</v>
      </c>
      <c r="E42">
        <f>IF(Лист1!I43="воздержался",Лист1!$D43,0)</f>
        <v>0</v>
      </c>
      <c r="F42">
        <f>IF(Лист1!J43="воздержался",Лист1!$D43,0)</f>
        <v>0</v>
      </c>
      <c r="G42">
        <f>IF(Лист1!K43="воздержался",Лист1!$D43,0)</f>
        <v>0</v>
      </c>
      <c r="H42">
        <f>IF(Лист1!L43="воздержался",Лист1!$D43,0)</f>
        <v>0</v>
      </c>
      <c r="I42">
        <f>IF(Лист1!M43="воздержался",Лист1!$D43,0)</f>
        <v>0</v>
      </c>
      <c r="J42">
        <f>IF(Лист1!N43="воздержался",Лист1!$D43,0)</f>
        <v>0</v>
      </c>
      <c r="K42">
        <f>IF(Лист1!O43="воздержался",Лист1!$D43,0)</f>
        <v>0</v>
      </c>
      <c r="L42">
        <f>IF(Лист1!P43="воздержался",Лист1!$D43,0)</f>
        <v>0</v>
      </c>
    </row>
    <row r="43" spans="1:12" x14ac:dyDescent="0.25">
      <c r="A43">
        <f>IF(Лист1!E44="воздержался",Лист1!$D44,0)</f>
        <v>0</v>
      </c>
      <c r="B43">
        <f>IF(Лист1!F44="воздержался",Лист1!$D44,0)</f>
        <v>0</v>
      </c>
      <c r="C43">
        <f>IF(Лист1!G44="воздержался",Лист1!$D44,0)</f>
        <v>0</v>
      </c>
      <c r="D43">
        <f>IF(Лист1!H44="воздержался",Лист1!$D44,0)</f>
        <v>0</v>
      </c>
      <c r="E43">
        <f>IF(Лист1!I44="воздержался",Лист1!$D44,0)</f>
        <v>0</v>
      </c>
      <c r="F43">
        <f>IF(Лист1!J44="воздержался",Лист1!$D44,0)</f>
        <v>0</v>
      </c>
      <c r="G43">
        <f>IF(Лист1!K44="воздержался",Лист1!$D44,0)</f>
        <v>0</v>
      </c>
      <c r="H43">
        <f>IF(Лист1!L44="воздержался",Лист1!$D44,0)</f>
        <v>2.0499999999999998</v>
      </c>
      <c r="I43">
        <f>IF(Лист1!M44="воздержался",Лист1!$D44,0)</f>
        <v>2.0499999999999998</v>
      </c>
      <c r="J43">
        <f>IF(Лист1!N44="воздержался",Лист1!$D44,0)</f>
        <v>2.0499999999999998</v>
      </c>
      <c r="K43">
        <f>IF(Лист1!O44="воздержался",Лист1!$D44,0)</f>
        <v>0</v>
      </c>
      <c r="L43">
        <f>IF(Лист1!P44="воздержался",Лист1!$D44,0)</f>
        <v>0</v>
      </c>
    </row>
    <row r="44" spans="1:12" x14ac:dyDescent="0.25">
      <c r="A44">
        <f>IF(Лист1!E45="воздержался",Лист1!$D45,0)</f>
        <v>0</v>
      </c>
      <c r="B44">
        <f>IF(Лист1!F45="воздержался",Лист1!$D45,0)</f>
        <v>0</v>
      </c>
      <c r="C44">
        <f>IF(Лист1!G45="воздержался",Лист1!$D45,0)</f>
        <v>0</v>
      </c>
      <c r="D44">
        <f>IF(Лист1!H45="воздержался",Лист1!$D45,0)</f>
        <v>0</v>
      </c>
      <c r="E44">
        <f>IF(Лист1!I45="воздержался",Лист1!$D45,0)</f>
        <v>0</v>
      </c>
      <c r="F44">
        <f>IF(Лист1!J45="воздержался",Лист1!$D45,0)</f>
        <v>0</v>
      </c>
      <c r="G44">
        <f>IF(Лист1!K45="воздержался",Лист1!$D45,0)</f>
        <v>0</v>
      </c>
      <c r="H44">
        <f>IF(Лист1!L45="воздержался",Лист1!$D45,0)</f>
        <v>2.98</v>
      </c>
      <c r="I44">
        <f>IF(Лист1!M45="воздержался",Лист1!$D45,0)</f>
        <v>2.98</v>
      </c>
      <c r="J44">
        <f>IF(Лист1!N45="воздержался",Лист1!$D45,0)</f>
        <v>2.98</v>
      </c>
      <c r="K44">
        <f>IF(Лист1!O45="воздержался",Лист1!$D45,0)</f>
        <v>0</v>
      </c>
      <c r="L44">
        <f>IF(Лист1!P45="воздержался",Лист1!$D45,0)</f>
        <v>0</v>
      </c>
    </row>
    <row r="45" spans="1:12" x14ac:dyDescent="0.25">
      <c r="A45">
        <f>IF(Лист1!E46="воздержался",Лист1!$D46,0)</f>
        <v>0</v>
      </c>
      <c r="B45">
        <f>IF(Лист1!F46="воздержался",Лист1!$D46,0)</f>
        <v>0</v>
      </c>
      <c r="C45">
        <f>IF(Лист1!G46="воздержался",Лист1!$D46,0)</f>
        <v>0</v>
      </c>
      <c r="D45">
        <f>IF(Лист1!H46="воздержался",Лист1!$D46,0)</f>
        <v>0</v>
      </c>
      <c r="E45">
        <f>IF(Лист1!I46="воздержался",Лист1!$D46,0)</f>
        <v>0</v>
      </c>
      <c r="F45">
        <f>IF(Лист1!J46="воздержался",Лист1!$D46,0)</f>
        <v>0</v>
      </c>
      <c r="G45">
        <f>IF(Лист1!K46="воздержался",Лист1!$D46,0)</f>
        <v>0</v>
      </c>
      <c r="H45">
        <f>IF(Лист1!L46="воздержался",Лист1!$D46,0)</f>
        <v>0</v>
      </c>
      <c r="I45">
        <f>IF(Лист1!M46="воздержался",Лист1!$D46,0)</f>
        <v>0</v>
      </c>
      <c r="J45">
        <f>IF(Лист1!N46="воздержался",Лист1!$D46,0)</f>
        <v>0</v>
      </c>
      <c r="K45">
        <f>IF(Лист1!O46="воздержался",Лист1!$D46,0)</f>
        <v>0</v>
      </c>
      <c r="L45">
        <f>IF(Лист1!P46="воздержался",Лист1!$D46,0)</f>
        <v>0</v>
      </c>
    </row>
    <row r="46" spans="1:12" x14ac:dyDescent="0.25">
      <c r="A46">
        <f>IF(Лист1!E47="воздержался",Лист1!$D47,0)</f>
        <v>0</v>
      </c>
      <c r="B46">
        <f>IF(Лист1!F47="воздержался",Лист1!$D47,0)</f>
        <v>0</v>
      </c>
      <c r="C46">
        <f>IF(Лист1!G47="воздержался",Лист1!$D47,0)</f>
        <v>0</v>
      </c>
      <c r="D46">
        <f>IF(Лист1!H47="воздержался",Лист1!$D47,0)</f>
        <v>0</v>
      </c>
      <c r="E46">
        <f>IF(Лист1!I47="воздержался",Лист1!$D47,0)</f>
        <v>0</v>
      </c>
      <c r="F46">
        <f>IF(Лист1!J47="воздержался",Лист1!$D47,0)</f>
        <v>0</v>
      </c>
      <c r="G46">
        <f>IF(Лист1!K47="воздержался",Лист1!$D47,0)</f>
        <v>0</v>
      </c>
      <c r="H46">
        <f>IF(Лист1!L47="воздержался",Лист1!$D47,0)</f>
        <v>0</v>
      </c>
      <c r="I46">
        <f>IF(Лист1!M47="воздержался",Лист1!$D47,0)</f>
        <v>0</v>
      </c>
      <c r="J46">
        <f>IF(Лист1!N47="воздержался",Лист1!$D47,0)</f>
        <v>0</v>
      </c>
      <c r="K46">
        <f>IF(Лист1!O47="воздержался",Лист1!$D47,0)</f>
        <v>0</v>
      </c>
      <c r="L46">
        <f>IF(Лист1!P47="воздержался",Лист1!$D47,0)</f>
        <v>0</v>
      </c>
    </row>
    <row r="47" spans="1:12" x14ac:dyDescent="0.25">
      <c r="A47">
        <f>IF(Лист1!E48="воздержался",Лист1!$D48,0)</f>
        <v>0</v>
      </c>
      <c r="B47">
        <f>IF(Лист1!F48="воздержался",Лист1!$D48,0)</f>
        <v>0</v>
      </c>
      <c r="C47">
        <f>IF(Лист1!G48="воздержался",Лист1!$D48,0)</f>
        <v>0</v>
      </c>
      <c r="D47">
        <f>IF(Лист1!H48="воздержался",Лист1!$D48,0)</f>
        <v>0</v>
      </c>
      <c r="E47">
        <f>IF(Лист1!I48="воздержался",Лист1!$D48,0)</f>
        <v>0</v>
      </c>
      <c r="F47">
        <f>IF(Лист1!J48="воздержался",Лист1!$D48,0)</f>
        <v>0</v>
      </c>
      <c r="G47">
        <f>IF(Лист1!K48="воздержался",Лист1!$D48,0)</f>
        <v>0</v>
      </c>
      <c r="H47">
        <f>IF(Лист1!L48="воздержался",Лист1!$D48,0)</f>
        <v>0</v>
      </c>
      <c r="I47">
        <f>IF(Лист1!M48="воздержался",Лист1!$D48,0)</f>
        <v>0</v>
      </c>
      <c r="J47">
        <f>IF(Лист1!N48="воздержался",Лист1!$D48,0)</f>
        <v>0</v>
      </c>
      <c r="K47">
        <f>IF(Лист1!O48="воздержался",Лист1!$D48,0)</f>
        <v>0</v>
      </c>
      <c r="L47">
        <f>IF(Лист1!P48="воздержался",Лист1!$D48,0)</f>
        <v>0</v>
      </c>
    </row>
    <row r="48" spans="1:12" x14ac:dyDescent="0.25">
      <c r="A48">
        <f>IF(Лист1!E49="воздержался",Лист1!$D49,0)</f>
        <v>0</v>
      </c>
      <c r="B48">
        <f>IF(Лист1!F49="воздержался",Лист1!$D49,0)</f>
        <v>0</v>
      </c>
      <c r="C48">
        <f>IF(Лист1!G49="воздержался",Лист1!$D49,0)</f>
        <v>0</v>
      </c>
      <c r="D48">
        <f>IF(Лист1!H49="воздержался",Лист1!$D49,0)</f>
        <v>0</v>
      </c>
      <c r="E48">
        <f>IF(Лист1!I49="воздержался",Лист1!$D49,0)</f>
        <v>0</v>
      </c>
      <c r="F48">
        <f>IF(Лист1!J49="воздержался",Лист1!$D49,0)</f>
        <v>0</v>
      </c>
      <c r="G48">
        <f>IF(Лист1!K49="воздержался",Лист1!$D49,0)</f>
        <v>0</v>
      </c>
      <c r="H48">
        <f>IF(Лист1!L49="воздержался",Лист1!$D49,0)</f>
        <v>0</v>
      </c>
      <c r="I48">
        <f>IF(Лист1!M49="воздержался",Лист1!$D49,0)</f>
        <v>0</v>
      </c>
      <c r="J48">
        <f>IF(Лист1!N49="воздержался",Лист1!$D49,0)</f>
        <v>0</v>
      </c>
      <c r="K48">
        <f>IF(Лист1!O49="воздержался",Лист1!$D49,0)</f>
        <v>0</v>
      </c>
      <c r="L48">
        <f>IF(Лист1!P49="воздержался",Лист1!$D49,0)</f>
        <v>0</v>
      </c>
    </row>
    <row r="49" spans="1:12" x14ac:dyDescent="0.25">
      <c r="A49">
        <f>IF(Лист1!E50="воздержался",Лист1!$D50,0)</f>
        <v>0</v>
      </c>
      <c r="B49">
        <f>IF(Лист1!F50="воздержался",Лист1!$D50,0)</f>
        <v>0</v>
      </c>
      <c r="C49">
        <f>IF(Лист1!G50="воздержался",Лист1!$D50,0)</f>
        <v>0</v>
      </c>
      <c r="D49">
        <f>IF(Лист1!H50="воздержался",Лист1!$D50,0)</f>
        <v>0</v>
      </c>
      <c r="E49">
        <f>IF(Лист1!I50="воздержался",Лист1!$D50,0)</f>
        <v>0</v>
      </c>
      <c r="F49">
        <f>IF(Лист1!J50="воздержался",Лист1!$D50,0)</f>
        <v>0</v>
      </c>
      <c r="G49">
        <f>IF(Лист1!K50="воздержался",Лист1!$D50,0)</f>
        <v>0</v>
      </c>
      <c r="H49">
        <f>IF(Лист1!L50="воздержался",Лист1!$D50,0)</f>
        <v>0</v>
      </c>
      <c r="I49">
        <f>IF(Лист1!M50="воздержался",Лист1!$D50,0)</f>
        <v>0</v>
      </c>
      <c r="J49">
        <f>IF(Лист1!N50="воздержался",Лист1!$D50,0)</f>
        <v>0</v>
      </c>
      <c r="K49">
        <f>IF(Лист1!O50="воздержался",Лист1!$D50,0)</f>
        <v>0</v>
      </c>
      <c r="L49">
        <f>IF(Лист1!P50="воздержался",Лист1!$D50,0)</f>
        <v>0</v>
      </c>
    </row>
    <row r="50" spans="1:12" x14ac:dyDescent="0.25">
      <c r="A50">
        <f>IF(Лист1!E51="воздержался",Лист1!$D51,0)</f>
        <v>0</v>
      </c>
      <c r="B50">
        <f>IF(Лист1!F51="воздержался",Лист1!$D51,0)</f>
        <v>0</v>
      </c>
      <c r="C50">
        <f>IF(Лист1!G51="воздержался",Лист1!$D51,0)</f>
        <v>0</v>
      </c>
      <c r="D50">
        <f>IF(Лист1!H51="воздержался",Лист1!$D51,0)</f>
        <v>0</v>
      </c>
      <c r="E50">
        <f>IF(Лист1!I51="воздержался",Лист1!$D51,0)</f>
        <v>0</v>
      </c>
      <c r="F50">
        <f>IF(Лист1!J51="воздержался",Лист1!$D51,0)</f>
        <v>0</v>
      </c>
      <c r="G50">
        <f>IF(Лист1!K51="воздержался",Лист1!$D51,0)</f>
        <v>0</v>
      </c>
      <c r="H50">
        <f>IF(Лист1!L51="воздержался",Лист1!$D51,0)</f>
        <v>0</v>
      </c>
      <c r="I50">
        <f>IF(Лист1!M51="воздержался",Лист1!$D51,0)</f>
        <v>0</v>
      </c>
      <c r="J50">
        <f>IF(Лист1!N51="воздержался",Лист1!$D51,0)</f>
        <v>0</v>
      </c>
      <c r="K50">
        <f>IF(Лист1!O51="воздержался",Лист1!$D51,0)</f>
        <v>0</v>
      </c>
      <c r="L50">
        <f>IF(Лист1!P51="воздержался",Лист1!$D51,0)</f>
        <v>0</v>
      </c>
    </row>
    <row r="51" spans="1:12" x14ac:dyDescent="0.25">
      <c r="A51">
        <f>IF(Лист1!E52="воздержался",Лист1!$D52,0)</f>
        <v>0</v>
      </c>
      <c r="B51">
        <f>IF(Лист1!F52="воздержался",Лист1!$D52,0)</f>
        <v>0</v>
      </c>
      <c r="C51">
        <f>IF(Лист1!G52="воздержался",Лист1!$D52,0)</f>
        <v>0</v>
      </c>
      <c r="D51">
        <f>IF(Лист1!H52="воздержался",Лист1!$D52,0)</f>
        <v>0</v>
      </c>
      <c r="E51">
        <f>IF(Лист1!I52="воздержался",Лист1!$D52,0)</f>
        <v>0</v>
      </c>
      <c r="F51">
        <f>IF(Лист1!J52="воздержался",Лист1!$D52,0)</f>
        <v>0</v>
      </c>
      <c r="G51">
        <f>IF(Лист1!K52="воздержался",Лист1!$D52,0)</f>
        <v>0</v>
      </c>
      <c r="H51">
        <f>IF(Лист1!L52="воздержался",Лист1!$D52,0)</f>
        <v>0</v>
      </c>
      <c r="I51">
        <f>IF(Лист1!M52="воздержался",Лист1!$D52,0)</f>
        <v>0</v>
      </c>
      <c r="J51">
        <f>IF(Лист1!N52="воздержался",Лист1!$D52,0)</f>
        <v>0</v>
      </c>
      <c r="K51">
        <f>IF(Лист1!O52="воздержался",Лист1!$D52,0)</f>
        <v>0</v>
      </c>
      <c r="L51">
        <f>IF(Лист1!P52="воздержался",Лист1!$D52,0)</f>
        <v>1.01</v>
      </c>
    </row>
    <row r="52" spans="1:12" x14ac:dyDescent="0.25">
      <c r="A52">
        <f>IF(Лист1!E53="воздержался",Лист1!$D53,0)</f>
        <v>0</v>
      </c>
      <c r="B52">
        <f>IF(Лист1!F53="воздержался",Лист1!$D53,0)</f>
        <v>0</v>
      </c>
      <c r="C52">
        <f>IF(Лист1!G53="воздержался",Лист1!$D53,0)</f>
        <v>0</v>
      </c>
      <c r="D52">
        <f>IF(Лист1!H53="воздержался",Лист1!$D53,0)</f>
        <v>0</v>
      </c>
      <c r="E52">
        <f>IF(Лист1!I53="воздержался",Лист1!$D53,0)</f>
        <v>0</v>
      </c>
      <c r="F52">
        <f>IF(Лист1!J53="воздержался",Лист1!$D53,0)</f>
        <v>0</v>
      </c>
      <c r="G52">
        <f>IF(Лист1!K53="воздержался",Лист1!$D53,0)</f>
        <v>0</v>
      </c>
      <c r="H52">
        <f>IF(Лист1!L53="воздержался",Лист1!$D53,0)</f>
        <v>0</v>
      </c>
      <c r="I52">
        <f>IF(Лист1!M53="воздержался",Лист1!$D53,0)</f>
        <v>0</v>
      </c>
      <c r="J52">
        <f>IF(Лист1!N53="воздержался",Лист1!$D53,0)</f>
        <v>0</v>
      </c>
      <c r="K52">
        <f>IF(Лист1!O53="воздержался",Лист1!$D53,0)</f>
        <v>0</v>
      </c>
      <c r="L52">
        <f>IF(Лист1!P53="воздержался",Лист1!$D53,0)</f>
        <v>1.01</v>
      </c>
    </row>
    <row r="53" spans="1:12" x14ac:dyDescent="0.25">
      <c r="A53">
        <f>IF(Лист1!E54="воздержался",Лист1!$D54,0)</f>
        <v>0</v>
      </c>
      <c r="B53">
        <f>IF(Лист1!F54="воздержался",Лист1!$D54,0)</f>
        <v>0</v>
      </c>
      <c r="C53">
        <f>IF(Лист1!G54="воздержался",Лист1!$D54,0)</f>
        <v>0</v>
      </c>
      <c r="D53">
        <f>IF(Лист1!H54="воздержался",Лист1!$D54,0)</f>
        <v>0</v>
      </c>
      <c r="E53">
        <f>IF(Лист1!I54="воздержался",Лист1!$D54,0)</f>
        <v>0</v>
      </c>
      <c r="F53">
        <f>IF(Лист1!J54="воздержался",Лист1!$D54,0)</f>
        <v>0</v>
      </c>
      <c r="G53">
        <f>IF(Лист1!K54="воздержался",Лист1!$D54,0)</f>
        <v>0</v>
      </c>
      <c r="H53">
        <f>IF(Лист1!L54="воздержался",Лист1!$D54,0)</f>
        <v>0</v>
      </c>
      <c r="I53">
        <f>IF(Лист1!M54="воздержался",Лист1!$D54,0)</f>
        <v>0</v>
      </c>
      <c r="J53">
        <f>IF(Лист1!N54="воздержался",Лист1!$D54,0)</f>
        <v>0</v>
      </c>
      <c r="K53">
        <f>IF(Лист1!O54="воздержался",Лист1!$D54,0)</f>
        <v>0</v>
      </c>
      <c r="L53">
        <f>IF(Лист1!P54="воздержался",Лист1!$D54,0)</f>
        <v>0</v>
      </c>
    </row>
    <row r="54" spans="1:12" x14ac:dyDescent="0.25">
      <c r="A54">
        <f>IF(Лист1!E55="воздержался",Лист1!$D55,0)</f>
        <v>0</v>
      </c>
      <c r="B54">
        <f>IF(Лист1!F55="воздержался",Лист1!$D55,0)</f>
        <v>0</v>
      </c>
      <c r="C54">
        <f>IF(Лист1!G55="воздержался",Лист1!$D55,0)</f>
        <v>0</v>
      </c>
      <c r="D54">
        <f>IF(Лист1!H55="воздержался",Лист1!$D55,0)</f>
        <v>0</v>
      </c>
      <c r="E54">
        <f>IF(Лист1!I55="воздержался",Лист1!$D55,0)</f>
        <v>0</v>
      </c>
      <c r="F54">
        <f>IF(Лист1!J55="воздержался",Лист1!$D55,0)</f>
        <v>0</v>
      </c>
      <c r="G54">
        <f>IF(Лист1!K55="воздержался",Лист1!$D55,0)</f>
        <v>0</v>
      </c>
      <c r="H54">
        <f>IF(Лист1!L55="воздержался",Лист1!$D55,0)</f>
        <v>0</v>
      </c>
      <c r="I54">
        <f>IF(Лист1!M55="воздержался",Лист1!$D55,0)</f>
        <v>0</v>
      </c>
      <c r="J54">
        <f>IF(Лист1!N55="воздержался",Лист1!$D55,0)</f>
        <v>0</v>
      </c>
      <c r="K54">
        <f>IF(Лист1!O55="воздержался",Лист1!$D55,0)</f>
        <v>0</v>
      </c>
      <c r="L54">
        <f>IF(Лист1!P55="воздержался",Лист1!$D55,0)</f>
        <v>0</v>
      </c>
    </row>
    <row r="55" spans="1:12" x14ac:dyDescent="0.25">
      <c r="A55">
        <f>IF(Лист1!E56="воздержался",Лист1!$D56,0)</f>
        <v>0</v>
      </c>
      <c r="B55">
        <f>IF(Лист1!F56="воздержался",Лист1!$D56,0)</f>
        <v>0</v>
      </c>
      <c r="C55">
        <f>IF(Лист1!G56="воздержался",Лист1!$D56,0)</f>
        <v>0</v>
      </c>
      <c r="D55">
        <f>IF(Лист1!H56="воздержался",Лист1!$D56,0)</f>
        <v>0</v>
      </c>
      <c r="E55">
        <f>IF(Лист1!I56="воздержался",Лист1!$D56,0)</f>
        <v>0</v>
      </c>
      <c r="F55">
        <f>IF(Лист1!J56="воздержался",Лист1!$D56,0)</f>
        <v>0</v>
      </c>
      <c r="G55">
        <f>IF(Лист1!K56="воздержался",Лист1!$D56,0)</f>
        <v>0</v>
      </c>
      <c r="H55">
        <f>IF(Лист1!L56="воздержался",Лист1!$D56,0)</f>
        <v>0</v>
      </c>
      <c r="I55">
        <f>IF(Лист1!M56="воздержался",Лист1!$D56,0)</f>
        <v>0</v>
      </c>
      <c r="J55">
        <f>IF(Лист1!N56="воздержался",Лист1!$D56,0)</f>
        <v>2</v>
      </c>
      <c r="K55">
        <f>IF(Лист1!O56="воздержался",Лист1!$D56,0)</f>
        <v>0</v>
      </c>
      <c r="L55">
        <f>IF(Лист1!P56="воздержался",Лист1!$D56,0)</f>
        <v>2</v>
      </c>
    </row>
    <row r="56" spans="1:12" x14ac:dyDescent="0.25">
      <c r="A56">
        <f>IF(Лист1!E57="воздержался",Лист1!$D57,0)</f>
        <v>0</v>
      </c>
      <c r="B56">
        <f>IF(Лист1!F57="воздержался",Лист1!$D57,0)</f>
        <v>0</v>
      </c>
      <c r="C56">
        <f>IF(Лист1!G57="воздержался",Лист1!$D57,0)</f>
        <v>0</v>
      </c>
      <c r="D56">
        <f>IF(Лист1!H57="воздержался",Лист1!$D57,0)</f>
        <v>0</v>
      </c>
      <c r="E56">
        <f>IF(Лист1!I57="воздержался",Лист1!$D57,0)</f>
        <v>0</v>
      </c>
      <c r="F56">
        <f>IF(Лист1!J57="воздержался",Лист1!$D57,0)</f>
        <v>0</v>
      </c>
      <c r="G56">
        <f>IF(Лист1!K57="воздержался",Лист1!$D57,0)</f>
        <v>0</v>
      </c>
      <c r="H56">
        <f>IF(Лист1!L57="воздержался",Лист1!$D57,0)</f>
        <v>0</v>
      </c>
      <c r="I56">
        <f>IF(Лист1!M57="воздержался",Лист1!$D57,0)</f>
        <v>0</v>
      </c>
      <c r="J56">
        <f>IF(Лист1!N57="воздержался",Лист1!$D57,0)</f>
        <v>0</v>
      </c>
      <c r="K56">
        <f>IF(Лист1!O57="воздержался",Лист1!$D57,0)</f>
        <v>0</v>
      </c>
      <c r="L56">
        <f>IF(Лист1!P57="воздержался",Лист1!$D57,0)</f>
        <v>0</v>
      </c>
    </row>
    <row r="57" spans="1:12" x14ac:dyDescent="0.25">
      <c r="A57">
        <f>IF(Лист1!E58="воздержался",Лист1!$D58,0)</f>
        <v>0</v>
      </c>
      <c r="B57">
        <f>IF(Лист1!F58="воздержался",Лист1!$D58,0)</f>
        <v>0</v>
      </c>
      <c r="C57">
        <f>IF(Лист1!G58="воздержался",Лист1!$D58,0)</f>
        <v>0</v>
      </c>
      <c r="D57">
        <f>IF(Лист1!H58="воздержался",Лист1!$D58,0)</f>
        <v>0</v>
      </c>
      <c r="E57">
        <f>IF(Лист1!I58="воздержался",Лист1!$D58,0)</f>
        <v>0</v>
      </c>
      <c r="F57">
        <f>IF(Лист1!J58="воздержался",Лист1!$D58,0)</f>
        <v>0</v>
      </c>
      <c r="G57">
        <f>IF(Лист1!K58="воздержался",Лист1!$D58,0)</f>
        <v>0</v>
      </c>
      <c r="H57">
        <f>IF(Лист1!L58="воздержался",Лист1!$D58,0)</f>
        <v>0</v>
      </c>
      <c r="I57">
        <f>IF(Лист1!M58="воздержался",Лист1!$D58,0)</f>
        <v>0</v>
      </c>
      <c r="J57">
        <f>IF(Лист1!N58="воздержался",Лист1!$D58,0)</f>
        <v>0</v>
      </c>
      <c r="K57">
        <f>IF(Лист1!O58="воздержался",Лист1!$D58,0)</f>
        <v>0</v>
      </c>
      <c r="L57">
        <f>IF(Лист1!P58="воздержался",Лист1!$D58,0)</f>
        <v>0</v>
      </c>
    </row>
    <row r="58" spans="1:12" x14ac:dyDescent="0.25">
      <c r="A58">
        <f>SUM(A1:A57)</f>
        <v>0</v>
      </c>
      <c r="B58">
        <f t="shared" ref="B58:L58" si="0">SUM(B1:B57)</f>
        <v>5.35</v>
      </c>
      <c r="C58">
        <f t="shared" si="0"/>
        <v>5.17</v>
      </c>
      <c r="D58">
        <f t="shared" si="0"/>
        <v>5.17</v>
      </c>
      <c r="E58">
        <f t="shared" si="0"/>
        <v>6.2799999999999994</v>
      </c>
      <c r="F58">
        <f t="shared" si="0"/>
        <v>3.02</v>
      </c>
      <c r="G58">
        <f t="shared" si="0"/>
        <v>2.15</v>
      </c>
      <c r="H58">
        <f t="shared" si="0"/>
        <v>7.18</v>
      </c>
      <c r="I58">
        <f t="shared" si="0"/>
        <v>10.199999999999999</v>
      </c>
      <c r="J58">
        <f t="shared" si="0"/>
        <v>17.5</v>
      </c>
      <c r="K58">
        <f t="shared" si="0"/>
        <v>0</v>
      </c>
      <c r="L58">
        <f t="shared" si="0"/>
        <v>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наличие голоса</vt:lpstr>
      <vt:lpstr>за</vt:lpstr>
      <vt:lpstr>против</vt:lpstr>
      <vt:lpstr>воздержался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Cyril Margorin</cp:lastModifiedBy>
  <cp:lastPrinted>2018-11-26T23:58:26Z</cp:lastPrinted>
  <dcterms:created xsi:type="dcterms:W3CDTF">2018-11-23T09:56:11Z</dcterms:created>
  <dcterms:modified xsi:type="dcterms:W3CDTF">2018-12-04T07:08:21Z</dcterms:modified>
</cp:coreProperties>
</file>